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timelines/timeline1.xml" ContentType="application/vnd.ms-excel.timelin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AUL\Documents\"/>
    </mc:Choice>
  </mc:AlternateContent>
  <xr:revisionPtr revIDLastSave="0" documentId="13_ncr:1_{1A0D31E0-39A4-455C-AF7C-70E4E6D229A7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base de datos" sheetId="1" r:id="rId1"/>
    <sheet name="Ejercicio 1" sheetId="2" r:id="rId2"/>
    <sheet name="Ejercicio 2" sheetId="3" r:id="rId3"/>
    <sheet name="Ejercicio 3" sheetId="4" r:id="rId4"/>
    <sheet name="Ejercicio 4" sheetId="5" r:id="rId5"/>
    <sheet name="Ejercicio 5" sheetId="6" r:id="rId6"/>
    <sheet name="Ejercicio 6" sheetId="7" r:id="rId7"/>
  </sheets>
  <definedNames>
    <definedName name="NativeTimeline_Fecha">#N/A</definedName>
    <definedName name="SegmentaciónDeDatos_Vendedor">#N/A</definedName>
  </definedNames>
  <calcPr calcId="191029"/>
  <pivotCaches>
    <pivotCache cacheId="48" r:id="rId8"/>
    <pivotCache cacheId="49" r:id="rId9"/>
    <pivotCache cacheId="50" r:id="rId10"/>
    <pivotCache cacheId="51" r:id="rId11"/>
  </pivotCaches>
  <extLst>
    <ext xmlns:x14="http://schemas.microsoft.com/office/spreadsheetml/2009/9/main" uri="{BBE1A952-AA13-448e-AADC-164F8A28A991}">
      <x14:slicerCaches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" i="2" l="1"/>
  <c r="L15" i="2"/>
</calcChain>
</file>

<file path=xl/sharedStrings.xml><?xml version="1.0" encoding="utf-8"?>
<sst xmlns="http://schemas.openxmlformats.org/spreadsheetml/2006/main" count="511" uniqueCount="74">
  <si>
    <t>Producto</t>
  </si>
  <si>
    <t>Precio</t>
  </si>
  <si>
    <t>Cantidad</t>
  </si>
  <si>
    <t>Total</t>
  </si>
  <si>
    <t>Fecha</t>
  </si>
  <si>
    <t>ID</t>
  </si>
  <si>
    <t>NOMBRE ESTUDIANTE</t>
  </si>
  <si>
    <t>EDAD</t>
  </si>
  <si>
    <t>DEPORTE</t>
  </si>
  <si>
    <t>CIUDAD</t>
  </si>
  <si>
    <t>MEZA HERNAN</t>
  </si>
  <si>
    <t>BALONCESTO</t>
  </si>
  <si>
    <t>LIMA</t>
  </si>
  <si>
    <t>CANALES ANGEL</t>
  </si>
  <si>
    <t>FUTBOL</t>
  </si>
  <si>
    <t>AREQUIPA</t>
  </si>
  <si>
    <t>LAVOE HECTOR</t>
  </si>
  <si>
    <t>TENIS DE MESA</t>
  </si>
  <si>
    <t>TACNA</t>
  </si>
  <si>
    <t>COLON WILLIE</t>
  </si>
  <si>
    <t>NATACION</t>
  </si>
  <si>
    <t>JUNIN</t>
  </si>
  <si>
    <t>RIVERA ISMAEL</t>
  </si>
  <si>
    <t>MIRANDA ISMAEL</t>
  </si>
  <si>
    <t>VOLEIBOL</t>
  </si>
  <si>
    <t>TUMBES</t>
  </si>
  <si>
    <t>BLADES RUBEN</t>
  </si>
  <si>
    <t>AJEDREZ</t>
  </si>
  <si>
    <t>CRUZ CELIA</t>
  </si>
  <si>
    <t>PACHECO JHONNY</t>
  </si>
  <si>
    <t>RODRIGUEZ PEREZ</t>
  </si>
  <si>
    <t>UCAYALI</t>
  </si>
  <si>
    <t>Vendedor</t>
  </si>
  <si>
    <t>Tienda</t>
  </si>
  <si>
    <t>Importe</t>
  </si>
  <si>
    <t>Carlos Vasquez</t>
  </si>
  <si>
    <t>Tienda A</t>
  </si>
  <si>
    <t>Laptop i3</t>
  </si>
  <si>
    <t>Juan Carlos</t>
  </si>
  <si>
    <t>Tienda B</t>
  </si>
  <si>
    <t xml:space="preserve">Impresora </t>
  </si>
  <si>
    <t>Pedro Noriega</t>
  </si>
  <si>
    <t>Laptop i5</t>
  </si>
  <si>
    <t>José Almanares</t>
  </si>
  <si>
    <t>Tienda C</t>
  </si>
  <si>
    <t>Pantalla 42</t>
  </si>
  <si>
    <t>Teclado</t>
  </si>
  <si>
    <t>Mouse</t>
  </si>
  <si>
    <t>Tienda D</t>
  </si>
  <si>
    <t>Laptop i7</t>
  </si>
  <si>
    <t>Pantalla 17</t>
  </si>
  <si>
    <t>USB 3.0.1</t>
  </si>
  <si>
    <t>Etiquetas de fila</t>
  </si>
  <si>
    <t>Total general</t>
  </si>
  <si>
    <t>Suma de Importe</t>
  </si>
  <si>
    <t>Promedio de Importe</t>
  </si>
  <si>
    <t>2017</t>
  </si>
  <si>
    <t>2018</t>
  </si>
  <si>
    <t>2019</t>
  </si>
  <si>
    <t>(Todas)</t>
  </si>
  <si>
    <t>Etiquetas de columna</t>
  </si>
  <si>
    <t>mar</t>
  </si>
  <si>
    <t>abr</t>
  </si>
  <si>
    <t>may</t>
  </si>
  <si>
    <t>chocolate12</t>
  </si>
  <si>
    <t>chocolate134</t>
  </si>
  <si>
    <t>chocolate13665</t>
  </si>
  <si>
    <t>agua cielo</t>
  </si>
  <si>
    <t>agua san mateo</t>
  </si>
  <si>
    <t>Máx. de Importe</t>
  </si>
  <si>
    <t>Suma de Extra</t>
  </si>
  <si>
    <t>leche pura vida</t>
  </si>
  <si>
    <t>asd</t>
  </si>
  <si>
    <t>sdsdffsdfsdfsd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</si>
</sst>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#,##0.00;[Red]\-&quot;S/&quot;#,##0.00"/>
    <numFmt numFmtId="165" formatCode="&quot;S/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14" fontId="0" fillId="0" borderId="1" xfId="0" applyNumberFormat="1" applyBorder="1"/>
    <xf numFmtId="0" fontId="2" fillId="0" borderId="0" xfId="0" applyFon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0" fontId="4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3" xfId="0" applyNumberFormat="1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165" fontId="5" fillId="0" borderId="3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14" fontId="5" fillId="0" borderId="4" xfId="0" applyNumberFormat="1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165" fontId="5" fillId="0" borderId="4" xfId="0" applyNumberFormat="1" applyFont="1" applyBorder="1" applyAlignment="1">
      <alignment horizontal="left" vertical="center"/>
    </xf>
    <xf numFmtId="14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165" fontId="5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1" xfId="0" applyBorder="1" applyAlignment="1">
      <alignment horizontal="right"/>
    </xf>
    <xf numFmtId="0" fontId="1" fillId="0" borderId="1" xfId="0" applyFont="1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1/relationships/timelineCache" Target="timelineCaches/timelineCach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263678</xdr:colOff>
      <xdr:row>11</xdr:row>
      <xdr:rowOff>163830</xdr:rowOff>
    </xdr:from>
    <xdr:to>
      <xdr:col>3</xdr:col>
      <xdr:colOff>625298</xdr:colOff>
      <xdr:row>21</xdr:row>
      <xdr:rowOff>175020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678" y="2187071"/>
          <a:ext cx="2718828" cy="185431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6</xdr:col>
      <xdr:colOff>200025</xdr:colOff>
      <xdr:row>11</xdr:row>
      <xdr:rowOff>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190500"/>
          <a:ext cx="4772025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/>
            <a:t>1.- Crear un formulario de ingreso de datos con las siguientes especificaciones: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 baseline="0"/>
            <a:t>    a).- Boton Limpiar datos  .- </a:t>
          </a:r>
          <a:r>
            <a:rPr lang="es-P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 limpiara los campos  del formulario automaticamente.</a:t>
          </a:r>
          <a:endParaRPr lang="es-PE">
            <a:effectLst/>
          </a:endParaRPr>
        </a:p>
        <a:p>
          <a:endParaRPr lang="es-PE" sz="1100" baseline="0"/>
        </a:p>
        <a:p>
          <a:endParaRPr lang="es-PE" sz="1100" baseline="0"/>
        </a:p>
        <a:p>
          <a:r>
            <a:rPr lang="es-PE" sz="1100" baseline="0"/>
            <a:t>    b) .- Boton Grabar datos .- se encargara de transferir los datos ingresados en los campos del formulario a la pestaña  "base de datos"  antes de eso de mostrara un mensaje de " Datos grabados correctamente"  y se limpiara los campos automaticamente.</a:t>
          </a:r>
          <a:endParaRPr lang="es-PE" sz="1100"/>
        </a:p>
      </xdr:txBody>
    </xdr:sp>
    <xdr:clientData/>
  </xdr:twoCellAnchor>
  <xdr:twoCellAnchor>
    <xdr:from>
      <xdr:col>8</xdr:col>
      <xdr:colOff>375286</xdr:colOff>
      <xdr:row>4</xdr:row>
      <xdr:rowOff>83492</xdr:rowOff>
    </xdr:from>
    <xdr:to>
      <xdr:col>13</xdr:col>
      <xdr:colOff>4665</xdr:colOff>
      <xdr:row>18</xdr:row>
      <xdr:rowOff>85592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E6830B9-9A84-4925-16F4-DF0F92A853E3}"/>
            </a:ext>
          </a:extLst>
        </xdr:cNvPr>
        <xdr:cNvSpPr/>
      </xdr:nvSpPr>
      <xdr:spPr>
        <a:xfrm>
          <a:off x="6681493" y="819216"/>
          <a:ext cx="3426241" cy="2577135"/>
        </a:xfrm>
        <a:prstGeom prst="round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451353</xdr:colOff>
      <xdr:row>16</xdr:row>
      <xdr:rowOff>86447</xdr:rowOff>
    </xdr:from>
    <xdr:to>
      <xdr:col>11</xdr:col>
      <xdr:colOff>702880</xdr:colOff>
      <xdr:row>17</xdr:row>
      <xdr:rowOff>124810</xdr:rowOff>
    </xdr:to>
    <xdr:sp macro="[0]!Hoja2.LimpiarDa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8381371-E981-3CCB-6CCA-38E268B5C16D}"/>
            </a:ext>
          </a:extLst>
        </xdr:cNvPr>
        <xdr:cNvSpPr/>
      </xdr:nvSpPr>
      <xdr:spPr>
        <a:xfrm>
          <a:off x="7545836" y="3029344"/>
          <a:ext cx="1098923" cy="22229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Limpiar Datos</a:t>
          </a:r>
        </a:p>
      </xdr:txBody>
    </xdr:sp>
    <xdr:clientData/>
  </xdr:twoCellAnchor>
  <xdr:twoCellAnchor>
    <xdr:from>
      <xdr:col>11</xdr:col>
      <xdr:colOff>860535</xdr:colOff>
      <xdr:row>16</xdr:row>
      <xdr:rowOff>78827</xdr:rowOff>
    </xdr:from>
    <xdr:to>
      <xdr:col>12</xdr:col>
      <xdr:colOff>449448</xdr:colOff>
      <xdr:row>17</xdr:row>
      <xdr:rowOff>117190</xdr:rowOff>
    </xdr:to>
    <xdr:sp macro="[0]!Hoja2.GrabarDat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1DE7F10-5C89-4CFC-A290-9E10A3750697}"/>
            </a:ext>
          </a:extLst>
        </xdr:cNvPr>
        <xdr:cNvSpPr/>
      </xdr:nvSpPr>
      <xdr:spPr>
        <a:xfrm>
          <a:off x="8802414" y="3021724"/>
          <a:ext cx="961827" cy="22229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Grabar</a:t>
          </a:r>
          <a:r>
            <a:rPr lang="en-GB" sz="1100" baseline="0"/>
            <a:t> Datos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53340</xdr:colOff>
      <xdr:row>1</xdr:row>
      <xdr:rowOff>158115</xdr:rowOff>
    </xdr:from>
    <xdr:to>
      <xdr:col>14</xdr:col>
      <xdr:colOff>171150</xdr:colOff>
      <xdr:row>10</xdr:row>
      <xdr:rowOff>26407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4915" y="339090"/>
          <a:ext cx="2493345" cy="2100952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0</xdr:row>
      <xdr:rowOff>180975</xdr:rowOff>
    </xdr:from>
    <xdr:to>
      <xdr:col>10</xdr:col>
      <xdr:colOff>295275</xdr:colOff>
      <xdr:row>23</xdr:row>
      <xdr:rowOff>28575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505325" y="180975"/>
          <a:ext cx="3533775" cy="4714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/>
            <a:t>Programar</a:t>
          </a:r>
          <a:r>
            <a:rPr lang="es-PE" sz="1100" baseline="0"/>
            <a:t> mediante macros los siguientes Botones:</a:t>
          </a:r>
        </a:p>
        <a:p>
          <a:endParaRPr lang="es-PE" sz="1100" baseline="0"/>
        </a:p>
        <a:p>
          <a:r>
            <a:rPr lang="es-PE" sz="1100" b="1" baseline="0"/>
            <a:t>A .- ANCHO COLUMNA</a:t>
          </a:r>
          <a:r>
            <a:rPr lang="es-PE" sz="1100" baseline="0"/>
            <a:t>.- AL PRESIONAR EL BOTON LOS CAMPOS DE LA TABLA  SE AJUSTARA A LA DESCRIPCION MAS GRANDE</a:t>
          </a:r>
        </a:p>
        <a:p>
          <a:r>
            <a:rPr lang="es-PE" sz="1100" b="1" baseline="0"/>
            <a:t>B</a:t>
          </a:r>
          <a:r>
            <a:rPr lang="es-PE" sz="1100" baseline="0"/>
            <a:t>.- </a:t>
          </a:r>
          <a:r>
            <a:rPr lang="es-PE" sz="1100" b="1" baseline="0"/>
            <a:t>ALTO FILAS </a:t>
          </a:r>
          <a:r>
            <a:rPr lang="es-PE" sz="1100" baseline="0"/>
            <a:t>.- AL PRESIONAR EL BOTON  LAS FILAS SE AJUSTARAN A UN ALTO DE FILA DE 20</a:t>
          </a:r>
        </a:p>
        <a:p>
          <a:r>
            <a:rPr lang="es-PE" sz="1100" b="1" baseline="0"/>
            <a:t>C</a:t>
          </a:r>
          <a:r>
            <a:rPr lang="es-PE" sz="1100" baseline="0"/>
            <a:t>-.  </a:t>
          </a:r>
          <a:r>
            <a:rPr lang="es-PE" sz="1100" b="1" baseline="0"/>
            <a:t>PONER BORDES</a:t>
          </a:r>
          <a:r>
            <a:rPr lang="es-PE" sz="1100" baseline="0"/>
            <a:t>.- LA TABLA SE MOSTRARA CON BORDES POR CELDA</a:t>
          </a:r>
        </a:p>
        <a:p>
          <a:r>
            <a:rPr lang="es-PE" sz="1100" b="1" baseline="0"/>
            <a:t>D</a:t>
          </a:r>
          <a:r>
            <a:rPr lang="es-PE" sz="1100" baseline="0"/>
            <a:t>.- </a:t>
          </a:r>
          <a:r>
            <a:rPr lang="es-PE" sz="1100" b="1" baseline="0"/>
            <a:t>QUITAR BORDE</a:t>
          </a:r>
          <a:r>
            <a:rPr lang="es-PE" sz="1100" baseline="0"/>
            <a:t>.- LA TABLA SE MOSTRARA SIN BORDES</a:t>
          </a:r>
        </a:p>
        <a:p>
          <a:r>
            <a:rPr lang="es-PE" sz="1100" b="1" baseline="0"/>
            <a:t>E</a:t>
          </a:r>
          <a:r>
            <a:rPr lang="es-PE" sz="1100" baseline="0"/>
            <a:t>.- </a:t>
          </a:r>
          <a:r>
            <a:rPr lang="es-PE" sz="1100" b="1" baseline="0"/>
            <a:t>ORDENAR POR APELLIDOS </a:t>
          </a:r>
          <a:r>
            <a:rPr lang="es-PE" sz="1100" baseline="0"/>
            <a:t>.- DE LOS DATOS QUE ESTAN EN LA TABLA O INGRESEN DEBERIAN ORDENARSE SEGUN EL APELLIDO 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 b="1" baseline="0"/>
            <a:t>F.-ORDENAR POR EDADES</a:t>
          </a:r>
          <a:r>
            <a:rPr lang="es-PE" sz="1100" baseline="0"/>
            <a:t>.-</a:t>
          </a:r>
          <a:r>
            <a:rPr lang="es-P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LOS DATOS QUE ESTAN EN LA TABLA O INGRESEN DEBERIAN ORDENARSE SEGUN EL EDADES.</a:t>
          </a:r>
          <a:endParaRPr lang="es-PE">
            <a:effectLst/>
          </a:endParaRPr>
        </a:p>
        <a:p>
          <a:r>
            <a:rPr lang="es-PE" sz="1100" b="1" baseline="0"/>
            <a:t>G.- SEÑALAR LOS DE BALONCESTO.- </a:t>
          </a:r>
          <a:r>
            <a:rPr lang="es-PE" sz="1100" baseline="0"/>
            <a:t>EN LA TABLA SE DEBE PINTAR LAS CELDAS QUE CONTENGAN BALONCESTO.</a:t>
          </a:r>
        </a:p>
        <a:p>
          <a:r>
            <a:rPr lang="es-PE" sz="1100" b="1" baseline="0"/>
            <a:t>H.- LIMPIAR.- </a:t>
          </a:r>
          <a:r>
            <a:rPr lang="es-PE" sz="1100" baseline="0"/>
            <a:t>LA TABLA REGRESA A SU ESTADO NORMAL SIN BORDES,SIN SELECCIONES Y PORDENADO POR EL ID </a:t>
          </a:r>
        </a:p>
        <a:p>
          <a:endParaRPr lang="es-PE" sz="1100"/>
        </a:p>
      </xdr:txBody>
    </xdr:sp>
    <xdr:clientData/>
  </xdr:twoCellAnchor>
  <xdr:twoCellAnchor>
    <xdr:from>
      <xdr:col>11</xdr:col>
      <xdr:colOff>621030</xdr:colOff>
      <xdr:row>15</xdr:row>
      <xdr:rowOff>24765</xdr:rowOff>
    </xdr:from>
    <xdr:to>
      <xdr:col>13</xdr:col>
      <xdr:colOff>417195</xdr:colOff>
      <xdr:row>19</xdr:row>
      <xdr:rowOff>87630</xdr:rowOff>
    </xdr:to>
    <xdr:sp macro="[0]!Hoja3.AjustarAnchoColumna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BC51A59-F5E3-C481-5921-FE9B9280D4D6}"/>
            </a:ext>
          </a:extLst>
        </xdr:cNvPr>
        <xdr:cNvSpPr/>
      </xdr:nvSpPr>
      <xdr:spPr>
        <a:xfrm>
          <a:off x="9412605" y="3320415"/>
          <a:ext cx="1377315" cy="7867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ANCHO</a:t>
          </a:r>
          <a:r>
            <a:rPr lang="en-GB" sz="1100" baseline="0"/>
            <a:t> COLUMNAS</a:t>
          </a:r>
          <a:endParaRPr lang="en-GB" sz="1100"/>
        </a:p>
      </xdr:txBody>
    </xdr:sp>
    <xdr:clientData/>
  </xdr:twoCellAnchor>
  <xdr:twoCellAnchor>
    <xdr:from>
      <xdr:col>13</xdr:col>
      <xdr:colOff>542925</xdr:colOff>
      <xdr:row>15</xdr:row>
      <xdr:rowOff>28575</xdr:rowOff>
    </xdr:from>
    <xdr:to>
      <xdr:col>15</xdr:col>
      <xdr:colOff>339090</xdr:colOff>
      <xdr:row>19</xdr:row>
      <xdr:rowOff>97155</xdr:rowOff>
    </xdr:to>
    <xdr:sp macro="[0]!Hoja3.AjustarAltoFil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FCCBF12-9A7E-4B2C-B9FE-29BAF80C8800}"/>
            </a:ext>
          </a:extLst>
        </xdr:cNvPr>
        <xdr:cNvSpPr/>
      </xdr:nvSpPr>
      <xdr:spPr>
        <a:xfrm>
          <a:off x="10458450" y="3324225"/>
          <a:ext cx="1377315" cy="792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ALTO</a:t>
          </a:r>
          <a:r>
            <a:rPr lang="en-GB" sz="1100" baseline="0"/>
            <a:t> FILAS</a:t>
          </a:r>
          <a:endParaRPr lang="en-GB" sz="1100"/>
        </a:p>
      </xdr:txBody>
    </xdr:sp>
    <xdr:clientData/>
  </xdr:twoCellAnchor>
  <xdr:twoCellAnchor>
    <xdr:from>
      <xdr:col>11</xdr:col>
      <xdr:colOff>628650</xdr:colOff>
      <xdr:row>20</xdr:row>
      <xdr:rowOff>28575</xdr:rowOff>
    </xdr:from>
    <xdr:to>
      <xdr:col>13</xdr:col>
      <xdr:colOff>424815</xdr:colOff>
      <xdr:row>24</xdr:row>
      <xdr:rowOff>97155</xdr:rowOff>
    </xdr:to>
    <xdr:sp macro="[0]!Hoja3.PonerBord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83FB1DD-B683-4C05-AF58-A359574509B3}"/>
            </a:ext>
          </a:extLst>
        </xdr:cNvPr>
        <xdr:cNvSpPr/>
      </xdr:nvSpPr>
      <xdr:spPr>
        <a:xfrm>
          <a:off x="8963025" y="4229100"/>
          <a:ext cx="1377315" cy="792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PONER BORDES</a:t>
          </a:r>
        </a:p>
      </xdr:txBody>
    </xdr:sp>
    <xdr:clientData/>
  </xdr:twoCellAnchor>
  <xdr:twoCellAnchor>
    <xdr:from>
      <xdr:col>13</xdr:col>
      <xdr:colOff>542925</xdr:colOff>
      <xdr:row>20</xdr:row>
      <xdr:rowOff>28575</xdr:rowOff>
    </xdr:from>
    <xdr:to>
      <xdr:col>15</xdr:col>
      <xdr:colOff>339090</xdr:colOff>
      <xdr:row>24</xdr:row>
      <xdr:rowOff>97155</xdr:rowOff>
    </xdr:to>
    <xdr:sp macro="[0]!Hoja3.QuitarBorde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B03EB39-0213-4F2C-92C8-9C34B6D25A98}"/>
            </a:ext>
          </a:extLst>
        </xdr:cNvPr>
        <xdr:cNvSpPr/>
      </xdr:nvSpPr>
      <xdr:spPr>
        <a:xfrm>
          <a:off x="10458450" y="4229100"/>
          <a:ext cx="1377315" cy="792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QUITAR BORDES</a:t>
          </a:r>
        </a:p>
      </xdr:txBody>
    </xdr:sp>
    <xdr:clientData/>
  </xdr:twoCellAnchor>
  <xdr:twoCellAnchor>
    <xdr:from>
      <xdr:col>11</xdr:col>
      <xdr:colOff>666750</xdr:colOff>
      <xdr:row>25</xdr:row>
      <xdr:rowOff>9525</xdr:rowOff>
    </xdr:from>
    <xdr:to>
      <xdr:col>13</xdr:col>
      <xdr:colOff>462915</xdr:colOff>
      <xdr:row>29</xdr:row>
      <xdr:rowOff>78105</xdr:rowOff>
    </xdr:to>
    <xdr:sp macro="[0]!Hoja3.OrdenarPorApellid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96A9CF0-BD0F-4F29-B24E-D2D31EB1A828}"/>
            </a:ext>
          </a:extLst>
        </xdr:cNvPr>
        <xdr:cNvSpPr/>
      </xdr:nvSpPr>
      <xdr:spPr>
        <a:xfrm>
          <a:off x="9001125" y="5114925"/>
          <a:ext cx="1377315" cy="792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ORDENAR</a:t>
          </a:r>
          <a:r>
            <a:rPr lang="en-GB" sz="1100" baseline="0"/>
            <a:t> POR APELLIDOS</a:t>
          </a:r>
          <a:endParaRPr lang="en-GB" sz="1100"/>
        </a:p>
      </xdr:txBody>
    </xdr:sp>
    <xdr:clientData/>
  </xdr:twoCellAnchor>
  <xdr:twoCellAnchor>
    <xdr:from>
      <xdr:col>13</xdr:col>
      <xdr:colOff>552450</xdr:colOff>
      <xdr:row>25</xdr:row>
      <xdr:rowOff>19050</xdr:rowOff>
    </xdr:from>
    <xdr:to>
      <xdr:col>15</xdr:col>
      <xdr:colOff>348615</xdr:colOff>
      <xdr:row>29</xdr:row>
      <xdr:rowOff>87630</xdr:rowOff>
    </xdr:to>
    <xdr:sp macro="[0]!Hoja3.OrdenarPorEdad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16ACF69C-2301-4A69-A39E-C1EC5936060B}"/>
            </a:ext>
          </a:extLst>
        </xdr:cNvPr>
        <xdr:cNvSpPr/>
      </xdr:nvSpPr>
      <xdr:spPr>
        <a:xfrm>
          <a:off x="10467975" y="5124450"/>
          <a:ext cx="1377315" cy="792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ORDENAR POR</a:t>
          </a:r>
          <a:r>
            <a:rPr lang="en-GB" sz="1100" baseline="0"/>
            <a:t> EDADES</a:t>
          </a:r>
          <a:endParaRPr lang="en-GB" sz="1100"/>
        </a:p>
      </xdr:txBody>
    </xdr:sp>
    <xdr:clientData/>
  </xdr:twoCellAnchor>
  <xdr:twoCellAnchor>
    <xdr:from>
      <xdr:col>11</xdr:col>
      <xdr:colOff>676275</xdr:colOff>
      <xdr:row>29</xdr:row>
      <xdr:rowOff>152400</xdr:rowOff>
    </xdr:from>
    <xdr:to>
      <xdr:col>13</xdr:col>
      <xdr:colOff>472440</xdr:colOff>
      <xdr:row>34</xdr:row>
      <xdr:rowOff>40005</xdr:rowOff>
    </xdr:to>
    <xdr:sp macro="[0]!Hoja3.SeñalarBaloncest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1C35E695-AF1F-4B8A-A14A-2112EBEE9EF8}"/>
            </a:ext>
          </a:extLst>
        </xdr:cNvPr>
        <xdr:cNvSpPr/>
      </xdr:nvSpPr>
      <xdr:spPr>
        <a:xfrm>
          <a:off x="9010650" y="5981700"/>
          <a:ext cx="1377315" cy="7924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SEÑALAR LOS BALONCESTO</a:t>
          </a:r>
        </a:p>
      </xdr:txBody>
    </xdr:sp>
    <xdr:clientData/>
  </xdr:twoCellAnchor>
  <xdr:twoCellAnchor>
    <xdr:from>
      <xdr:col>13</xdr:col>
      <xdr:colOff>539115</xdr:colOff>
      <xdr:row>29</xdr:row>
      <xdr:rowOff>163830</xdr:rowOff>
    </xdr:from>
    <xdr:to>
      <xdr:col>15</xdr:col>
      <xdr:colOff>340995</xdr:colOff>
      <xdr:row>34</xdr:row>
      <xdr:rowOff>53340</xdr:rowOff>
    </xdr:to>
    <xdr:sp macro="[0]!Hoja3.Limpi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EA4173C-136C-4675-9C1C-CB620EC03DF1}"/>
            </a:ext>
          </a:extLst>
        </xdr:cNvPr>
        <xdr:cNvSpPr/>
      </xdr:nvSpPr>
      <xdr:spPr>
        <a:xfrm>
          <a:off x="10454640" y="5993130"/>
          <a:ext cx="1383030" cy="79438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LIMPIAR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753835</xdr:colOff>
      <xdr:row>0</xdr:row>
      <xdr:rowOff>9525</xdr:rowOff>
    </xdr:from>
    <xdr:to>
      <xdr:col>17</xdr:col>
      <xdr:colOff>366033</xdr:colOff>
      <xdr:row>3</xdr:row>
      <xdr:rowOff>16329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2041494-8111-4F0B-BE9C-98F716DA305C}"/>
            </a:ext>
          </a:extLst>
        </xdr:cNvPr>
        <xdr:cNvSpPr/>
      </xdr:nvSpPr>
      <xdr:spPr>
        <a:xfrm>
          <a:off x="9459685" y="9525"/>
          <a:ext cx="10880273" cy="902154"/>
        </a:xfrm>
        <a:prstGeom prst="roundRect">
          <a:avLst>
            <a:gd name="adj" fmla="val 7184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>
              <a:solidFill>
                <a:schemeClr val="tx1">
                  <a:lumMod val="95000"/>
                  <a:lumOff val="5000"/>
                </a:schemeClr>
              </a:solidFill>
            </a:rPr>
            <a:t>MOSTRAR SUMA DE VENTAS POR TIENDA,</a:t>
          </a:r>
          <a:r>
            <a:rPr lang="es-PE" sz="2000" b="1" baseline="0">
              <a:solidFill>
                <a:schemeClr val="tx1">
                  <a:lumMod val="95000"/>
                  <a:lumOff val="5000"/>
                </a:schemeClr>
              </a:solidFill>
            </a:rPr>
            <a:t> AGRUPAR POR FECHAS(AÑO, MES) Y APLICAR SEGMENTACIÓN POR VENDEDOR</a:t>
          </a:r>
          <a:endParaRPr lang="es-PE" sz="20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3811</xdr:colOff>
      <xdr:row>14</xdr:row>
      <xdr:rowOff>27709</xdr:rowOff>
    </xdr:from>
    <xdr:to>
      <xdr:col>8</xdr:col>
      <xdr:colOff>1844041</xdr:colOff>
      <xdr:row>27</xdr:row>
      <xdr:rowOff>154652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Vendedor">
              <a:extLst>
                <a:ext uri="{FF2B5EF4-FFF2-40B4-BE49-F238E27FC236}">
                  <a16:creationId xmlns:a16="http://schemas.microsoft.com/office/drawing/2014/main" id="{AFAF769A-8418-C835-E17A-FEECBFBC5A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54073" y="3400375"/>
              <a:ext cx="1842135" cy="2537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713014</xdr:colOff>
      <xdr:row>0</xdr:row>
      <xdr:rowOff>93889</xdr:rowOff>
    </xdr:from>
    <xdr:to>
      <xdr:col>20</xdr:col>
      <xdr:colOff>472169</xdr:colOff>
      <xdr:row>3</xdr:row>
      <xdr:rowOff>100693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D9F1DB7-DA76-4CD2-960C-5E6A3B787D21}"/>
            </a:ext>
          </a:extLst>
        </xdr:cNvPr>
        <xdr:cNvSpPr/>
      </xdr:nvSpPr>
      <xdr:spPr>
        <a:xfrm>
          <a:off x="5104039" y="93889"/>
          <a:ext cx="9150805" cy="902154"/>
        </a:xfrm>
        <a:prstGeom prst="roundRect">
          <a:avLst>
            <a:gd name="adj" fmla="val 7184"/>
          </a:avLst>
        </a:prstGeom>
        <a:solidFill>
          <a:srgbClr val="60C3D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>
              <a:solidFill>
                <a:schemeClr val="tx1">
                  <a:lumMod val="95000"/>
                  <a:lumOff val="5000"/>
                </a:schemeClr>
              </a:solidFill>
            </a:rPr>
            <a:t>MOSTRAR LAS VENTAS MÁXIMAS POR VENDEDOR,</a:t>
          </a:r>
          <a:r>
            <a:rPr lang="es-PE" sz="2000" b="1" baseline="0">
              <a:solidFill>
                <a:schemeClr val="tx1">
                  <a:lumMod val="95000"/>
                  <a:lumOff val="5000"/>
                </a:schemeClr>
              </a:solidFill>
            </a:rPr>
            <a:t> AGRUPAR POR FECHAS(AÑO, MES) Y FILTRAR POR TIENDA</a:t>
          </a:r>
          <a:endParaRPr lang="es-PE" sz="20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632460</xdr:colOff>
      <xdr:row>0</xdr:row>
      <xdr:rowOff>59055</xdr:rowOff>
    </xdr:from>
    <xdr:to>
      <xdr:col>13</xdr:col>
      <xdr:colOff>647700</xdr:colOff>
      <xdr:row>4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084AEA-6C6F-4DAC-8091-C1AB33AF0E53}"/>
            </a:ext>
          </a:extLst>
        </xdr:cNvPr>
        <xdr:cNvSpPr/>
      </xdr:nvSpPr>
      <xdr:spPr>
        <a:xfrm>
          <a:off x="10033635" y="59055"/>
          <a:ext cx="8378190" cy="1202055"/>
        </a:xfrm>
        <a:prstGeom prst="roundRect">
          <a:avLst>
            <a:gd name="adj" fmla="val 7184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>
              <a:solidFill>
                <a:schemeClr val="tx1">
                  <a:lumMod val="95000"/>
                  <a:lumOff val="5000"/>
                </a:schemeClr>
              </a:solidFill>
            </a:rPr>
            <a:t>MOSTRAR PROMEDIO DE</a:t>
          </a:r>
          <a:r>
            <a:rPr lang="es-PE" sz="2000" b="1" baseline="0">
              <a:solidFill>
                <a:schemeClr val="tx1">
                  <a:lumMod val="95000"/>
                  <a:lumOff val="5000"/>
                </a:schemeClr>
              </a:solidFill>
            </a:rPr>
            <a:t> VENTAS POR CADA VENDEDOR AGRUPADO POR TIENDAS. INSERTAR ESCALA DE TIEMPO</a:t>
          </a:r>
          <a:endParaRPr lang="es-PE" sz="20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477035</xdr:colOff>
      <xdr:row>7</xdr:row>
      <xdr:rowOff>131445</xdr:rowOff>
    </xdr:from>
    <xdr:to>
      <xdr:col>12</xdr:col>
      <xdr:colOff>1429423</xdr:colOff>
      <xdr:row>13</xdr:row>
      <xdr:rowOff>154529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6D1E667A-2F43-4232-F1A2-7A4C2A5FD7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15049" y="1872167"/>
              <a:ext cx="3328035" cy="1363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0</xdr:row>
      <xdr:rowOff>180975</xdr:rowOff>
    </xdr:from>
    <xdr:to>
      <xdr:col>14</xdr:col>
      <xdr:colOff>638175</xdr:colOff>
      <xdr:row>3</xdr:row>
      <xdr:rowOff>190500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540992F-B3BF-405E-AA01-D3A5F716BFA7}"/>
            </a:ext>
          </a:extLst>
        </xdr:cNvPr>
        <xdr:cNvSpPr/>
      </xdr:nvSpPr>
      <xdr:spPr>
        <a:xfrm>
          <a:off x="7762875" y="180975"/>
          <a:ext cx="12039600" cy="904875"/>
        </a:xfrm>
        <a:prstGeom prst="roundRect">
          <a:avLst>
            <a:gd name="adj" fmla="val 7184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>
              <a:solidFill>
                <a:schemeClr val="tx1">
                  <a:lumMod val="95000"/>
                  <a:lumOff val="5000"/>
                </a:schemeClr>
              </a:solidFill>
            </a:rPr>
            <a:t>MOSTRAR SUMA DE</a:t>
          </a:r>
          <a:r>
            <a:rPr lang="es-PE" sz="2000" b="1" baseline="0">
              <a:solidFill>
                <a:schemeClr val="tx1">
                  <a:lumMod val="95000"/>
                  <a:lumOff val="5000"/>
                </a:schemeClr>
              </a:solidFill>
            </a:rPr>
            <a:t> VENTAS POR CADA VENDEDOR AGRUPADO POR TIENDAS. INSERTAR UN CAMPO CALCULADO, APLICANDO el 10 % a la suma de ventas</a:t>
          </a:r>
        </a:p>
        <a:p>
          <a:pPr algn="ctr"/>
          <a:r>
            <a:rPr lang="es-PE" sz="2000" b="1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endParaRPr lang="es-PE" sz="20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5594.663606712966" createdVersion="8" refreshedVersion="8" minRefreshableVersion="3" recordCount="29" xr:uid="{D280CD24-A543-40A2-BAB0-49954B27E766}">
  <cacheSource type="worksheet">
    <worksheetSource ref="B2:F31" sheet="Ejercicio 6"/>
  </cacheSource>
  <cacheFields count="6">
    <cacheField name="Fecha" numFmtId="14">
      <sharedItems containsSemiMixedTypes="0" containsNonDate="0" containsDate="1" containsString="0" minDate="2017-03-17T00:00:00" maxDate="2019-09-21T00:00:00"/>
    </cacheField>
    <cacheField name="Vendedor" numFmtId="0">
      <sharedItems count="4">
        <s v="Carlos Vasquez"/>
        <s v="Juan Carlos"/>
        <s v="Pedro Noriega"/>
        <s v="José Almanares"/>
      </sharedItems>
    </cacheField>
    <cacheField name="Tienda" numFmtId="0">
      <sharedItems count="4">
        <s v="Tienda A"/>
        <s v="Tienda B"/>
        <s v="Tienda C"/>
        <s v="Tienda D"/>
      </sharedItems>
    </cacheField>
    <cacheField name="Producto" numFmtId="0">
      <sharedItems/>
    </cacheField>
    <cacheField name="Importe" numFmtId="165">
      <sharedItems containsSemiMixedTypes="0" containsString="0" containsNumber="1" containsInteger="1" minValue="10" maxValue="4000"/>
    </cacheField>
    <cacheField name="Extra" numFmtId="0" formula="Importe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5594.665250578706" createdVersion="8" refreshedVersion="8" minRefreshableVersion="3" recordCount="29" xr:uid="{49D808BF-5681-40C7-B901-D850B8160D0B}">
  <cacheSource type="worksheet">
    <worksheetSource ref="B2:F31" sheet="Ejercicio 5"/>
  </cacheSource>
  <cacheFields count="5">
    <cacheField name="Fecha" numFmtId="14">
      <sharedItems containsSemiMixedTypes="0" containsNonDate="0" containsDate="1" containsString="0" minDate="2017-03-17T00:00:00" maxDate="2019-09-21T00:00:00" count="26">
        <d v="2017-03-17T00:00:00"/>
        <d v="2017-03-20T00:00:00"/>
        <d v="2017-03-22T00:00:00"/>
        <d v="2017-04-20T00:00:00"/>
        <d v="2017-04-17T00:00:00"/>
        <d v="2017-05-22T00:00:00"/>
        <d v="2017-05-24T00:00:00"/>
        <d v="2017-05-17T00:00:00"/>
        <d v="2017-05-20T00:00:00"/>
        <d v="2017-05-27T00:00:00"/>
        <d v="2018-05-18T00:00:00"/>
        <d v="2018-06-16T00:00:00"/>
        <d v="2018-06-17T00:00:00"/>
        <d v="2018-06-20T00:00:00"/>
        <d v="2018-06-19T00:00:00"/>
        <d v="2018-07-05T00:00:00"/>
        <d v="2018-07-06T00:00:00"/>
        <d v="2018-07-08T00:00:00"/>
        <d v="2018-08-04T00:00:00"/>
        <d v="2018-08-06T00:00:00"/>
        <d v="2018-08-07T00:00:00"/>
        <d v="2018-09-01T00:00:00"/>
        <d v="2018-09-04T00:00:00"/>
        <d v="2019-09-05T00:00:00"/>
        <d v="2019-09-08T00:00:00"/>
        <d v="2019-09-20T00:00:00"/>
      </sharedItems>
    </cacheField>
    <cacheField name="Vendedor" numFmtId="0">
      <sharedItems count="4">
        <s v="Carlos Vasquez"/>
        <s v="Juan Carlos"/>
        <s v="Pedro Noriega"/>
        <s v="José Almanares"/>
      </sharedItems>
    </cacheField>
    <cacheField name="Tienda" numFmtId="0">
      <sharedItems count="4">
        <s v="Tienda A"/>
        <s v="Tienda B"/>
        <s v="Tienda C"/>
        <s v="Tienda D"/>
      </sharedItems>
    </cacheField>
    <cacheField name="Producto" numFmtId="0">
      <sharedItems/>
    </cacheField>
    <cacheField name="Importe" numFmtId="165">
      <sharedItems containsSemiMixedTypes="0" containsString="0" containsNumber="1" containsInteger="1" minValue="10" maxValue="4000"/>
    </cacheField>
  </cacheFields>
  <extLst>
    <ext xmlns:x14="http://schemas.microsoft.com/office/spreadsheetml/2009/9/main" uri="{725AE2AE-9491-48be-B2B4-4EB974FC3084}">
      <x14:pivotCacheDefinition pivotCacheId="13182824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5594.665728935186" createdVersion="8" refreshedVersion="8" minRefreshableVersion="3" recordCount="29" xr:uid="{9663D80D-353E-4639-9C76-E1546DC07CBE}">
  <cacheSource type="worksheet">
    <worksheetSource ref="B2:F31" sheet="Ejercicio 4"/>
  </cacheSource>
  <cacheFields count="8">
    <cacheField name="Fecha" numFmtId="14">
      <sharedItems containsSemiMixedTypes="0" containsNonDate="0" containsDate="1" containsString="0" minDate="2017-03-17T00:00:00" maxDate="2019-09-21T00:00:00" count="26">
        <d v="2017-03-17T00:00:00"/>
        <d v="2017-03-20T00:00:00"/>
        <d v="2017-03-22T00:00:00"/>
        <d v="2017-04-20T00:00:00"/>
        <d v="2017-04-17T00:00:00"/>
        <d v="2017-05-22T00:00:00"/>
        <d v="2017-05-24T00:00:00"/>
        <d v="2017-05-17T00:00:00"/>
        <d v="2017-05-20T00:00:00"/>
        <d v="2017-05-27T00:00:00"/>
        <d v="2018-05-18T00:00:00"/>
        <d v="2018-06-16T00:00:00"/>
        <d v="2018-06-17T00:00:00"/>
        <d v="2018-06-20T00:00:00"/>
        <d v="2018-06-19T00:00:00"/>
        <d v="2018-07-05T00:00:00"/>
        <d v="2018-07-06T00:00:00"/>
        <d v="2018-07-08T00:00:00"/>
        <d v="2018-08-04T00:00:00"/>
        <d v="2018-08-06T00:00:00"/>
        <d v="2018-08-07T00:00:00"/>
        <d v="2018-09-01T00:00:00"/>
        <d v="2018-09-04T00:00:00"/>
        <d v="2019-09-05T00:00:00"/>
        <d v="2019-09-08T00:00:00"/>
        <d v="2019-09-20T00:00:00"/>
      </sharedItems>
      <fieldGroup par="7"/>
    </cacheField>
    <cacheField name="Vendedor" numFmtId="0">
      <sharedItems count="4">
        <s v="Carlos Vasquez"/>
        <s v="Juan Carlos"/>
        <s v="Pedro Noriega"/>
        <s v="José Almanares"/>
      </sharedItems>
    </cacheField>
    <cacheField name="Tienda" numFmtId="0">
      <sharedItems count="4">
        <s v="Tienda A"/>
        <s v="Tienda B"/>
        <s v="Tienda C"/>
        <s v="Tienda D"/>
      </sharedItems>
    </cacheField>
    <cacheField name="Producto" numFmtId="0">
      <sharedItems/>
    </cacheField>
    <cacheField name="Importe" numFmtId="165">
      <sharedItems containsSemiMixedTypes="0" containsString="0" containsNumber="1" containsInteger="1" minValue="10" maxValue="4000"/>
    </cacheField>
    <cacheField name="Meses (Fecha)" numFmtId="0" databaseField="0">
      <fieldGroup base="0">
        <rangePr groupBy="months" startDate="2017-03-17T00:00:00" endDate="2019-09-21T00:00:00"/>
        <groupItems count="14">
          <s v="&lt;17/3/2017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1/9/2019"/>
        </groupItems>
      </fieldGroup>
    </cacheField>
    <cacheField name="Trimestres (Fecha)" numFmtId="0" databaseField="0">
      <fieldGroup base="0">
        <rangePr groupBy="quarters" startDate="2017-03-17T00:00:00" endDate="2019-09-21T00:00:00"/>
        <groupItems count="6">
          <s v="&lt;17/3/2017"/>
          <s v="Trim.1"/>
          <s v="Trim.2"/>
          <s v="Trim.3"/>
          <s v="Trim.4"/>
          <s v="&gt;21/9/2019"/>
        </groupItems>
      </fieldGroup>
    </cacheField>
    <cacheField name="Años (Fecha)" numFmtId="0" databaseField="0">
      <fieldGroup base="0">
        <rangePr groupBy="years" startDate="2017-03-17T00:00:00" endDate="2019-09-21T00:00:00"/>
        <groupItems count="5">
          <s v="&lt;17/3/2017"/>
          <s v="2017"/>
          <s v="2018"/>
          <s v="2019"/>
          <s v="&gt;21/9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5594.667093055556" createdVersion="8" refreshedVersion="8" minRefreshableVersion="3" recordCount="29" xr:uid="{42CF179D-E80A-4A23-92EE-954272AEF954}">
  <cacheSource type="worksheet">
    <worksheetSource ref="B2:F31" sheet="Ejercicio 3"/>
  </cacheSource>
  <cacheFields count="8">
    <cacheField name="Fecha" numFmtId="14">
      <sharedItems containsSemiMixedTypes="0" containsNonDate="0" containsDate="1" containsString="0" minDate="2017-03-17T00:00:00" maxDate="2019-09-21T00:00:00" count="26">
        <d v="2017-03-17T00:00:00"/>
        <d v="2017-03-20T00:00:00"/>
        <d v="2017-03-22T00:00:00"/>
        <d v="2017-04-20T00:00:00"/>
        <d v="2017-04-17T00:00:00"/>
        <d v="2017-05-22T00:00:00"/>
        <d v="2017-05-24T00:00:00"/>
        <d v="2017-05-17T00:00:00"/>
        <d v="2017-05-20T00:00:00"/>
        <d v="2017-05-27T00:00:00"/>
        <d v="2018-05-18T00:00:00"/>
        <d v="2018-06-16T00:00:00"/>
        <d v="2018-06-17T00:00:00"/>
        <d v="2018-06-20T00:00:00"/>
        <d v="2018-06-19T00:00:00"/>
        <d v="2018-07-05T00:00:00"/>
        <d v="2018-07-06T00:00:00"/>
        <d v="2018-07-08T00:00:00"/>
        <d v="2018-08-04T00:00:00"/>
        <d v="2018-08-06T00:00:00"/>
        <d v="2018-08-07T00:00:00"/>
        <d v="2018-09-01T00:00:00"/>
        <d v="2018-09-04T00:00:00"/>
        <d v="2019-09-05T00:00:00"/>
        <d v="2019-09-08T00:00:00"/>
        <d v="2019-09-20T00:00:00"/>
      </sharedItems>
      <fieldGroup par="7"/>
    </cacheField>
    <cacheField name="Vendedor" numFmtId="0">
      <sharedItems count="4">
        <s v="Carlos Vasquez"/>
        <s v="Juan Carlos"/>
        <s v="Pedro Noriega"/>
        <s v="José Almanares"/>
      </sharedItems>
    </cacheField>
    <cacheField name="Tienda" numFmtId="0">
      <sharedItems count="4">
        <s v="Tienda A"/>
        <s v="Tienda B"/>
        <s v="Tienda C"/>
        <s v="Tienda D"/>
      </sharedItems>
    </cacheField>
    <cacheField name="Producto" numFmtId="0">
      <sharedItems/>
    </cacheField>
    <cacheField name="Importe" numFmtId="165">
      <sharedItems containsSemiMixedTypes="0" containsString="0" containsNumber="1" containsInteger="1" minValue="10" maxValue="4000"/>
    </cacheField>
    <cacheField name="Meses (Fecha)" numFmtId="0" databaseField="0">
      <fieldGroup base="0">
        <rangePr groupBy="months" startDate="2017-03-17T00:00:00" endDate="2019-09-21T00:00:00"/>
        <groupItems count="14">
          <s v="&lt;17/3/2017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1/9/2019"/>
        </groupItems>
      </fieldGroup>
    </cacheField>
    <cacheField name="Trimestres (Fecha)" numFmtId="0" databaseField="0">
      <fieldGroup base="0">
        <rangePr groupBy="quarters" startDate="2017-03-17T00:00:00" endDate="2019-09-21T00:00:00"/>
        <groupItems count="6">
          <s v="&lt;17/3/2017"/>
          <s v="Trim.1"/>
          <s v="Trim.2"/>
          <s v="Trim.3"/>
          <s v="Trim.4"/>
          <s v="&gt;21/9/2019"/>
        </groupItems>
      </fieldGroup>
    </cacheField>
    <cacheField name="Años (Fecha)" numFmtId="0" databaseField="0">
      <fieldGroup base="0">
        <rangePr groupBy="years" startDate="2017-03-17T00:00:00" endDate="2019-09-21T00:00:00"/>
        <groupItems count="5">
          <s v="&lt;17/3/2017"/>
          <s v="2017"/>
          <s v="2018"/>
          <s v="2019"/>
          <s v="&gt;21/9/2019"/>
        </groupItems>
      </fieldGroup>
    </cacheField>
  </cacheFields>
  <extLst>
    <ext xmlns:x14="http://schemas.microsoft.com/office/spreadsheetml/2009/9/main" uri="{725AE2AE-9491-48be-B2B4-4EB974FC3084}">
      <x14:pivotCacheDefinition pivotCacheId="170754176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d v="2017-03-17T00:00:00"/>
    <x v="0"/>
    <x v="0"/>
    <s v="Laptop i3"/>
    <n v="1000"/>
  </r>
  <r>
    <d v="2017-03-20T00:00:00"/>
    <x v="1"/>
    <x v="1"/>
    <s v="Impresora "/>
    <n v="200"/>
  </r>
  <r>
    <d v="2017-03-22T00:00:00"/>
    <x v="2"/>
    <x v="1"/>
    <s v="Laptop i5"/>
    <n v="3500"/>
  </r>
  <r>
    <d v="2017-04-20T00:00:00"/>
    <x v="3"/>
    <x v="2"/>
    <s v="Impresora "/>
    <n v="100"/>
  </r>
  <r>
    <d v="2017-04-17T00:00:00"/>
    <x v="0"/>
    <x v="0"/>
    <s v="Pantalla 42"/>
    <n v="100"/>
  </r>
  <r>
    <d v="2017-05-22T00:00:00"/>
    <x v="1"/>
    <x v="2"/>
    <s v="Teclado"/>
    <n v="20"/>
  </r>
  <r>
    <d v="2017-05-22T00:00:00"/>
    <x v="2"/>
    <x v="2"/>
    <s v="Mouse"/>
    <n v="10"/>
  </r>
  <r>
    <d v="2017-05-24T00:00:00"/>
    <x v="3"/>
    <x v="0"/>
    <s v="Teclado"/>
    <n v="20"/>
  </r>
  <r>
    <d v="2017-05-17T00:00:00"/>
    <x v="3"/>
    <x v="3"/>
    <s v="Laptop i7"/>
    <n v="4000"/>
  </r>
  <r>
    <d v="2017-05-20T00:00:00"/>
    <x v="0"/>
    <x v="2"/>
    <s v="Laptop i7"/>
    <n v="4000"/>
  </r>
  <r>
    <d v="2017-05-27T00:00:00"/>
    <x v="1"/>
    <x v="2"/>
    <s v="Pantalla 17"/>
    <n v="180"/>
  </r>
  <r>
    <d v="2017-05-20T00:00:00"/>
    <x v="2"/>
    <x v="0"/>
    <s v="Mouse"/>
    <n v="10"/>
  </r>
  <r>
    <d v="2017-05-17T00:00:00"/>
    <x v="3"/>
    <x v="3"/>
    <s v="Teclado"/>
    <n v="30"/>
  </r>
  <r>
    <d v="2018-05-18T00:00:00"/>
    <x v="0"/>
    <x v="1"/>
    <s v="Laptop i3"/>
    <n v="1000"/>
  </r>
  <r>
    <d v="2018-06-16T00:00:00"/>
    <x v="1"/>
    <x v="2"/>
    <s v="USB 3.0.1"/>
    <n v="15"/>
  </r>
  <r>
    <d v="2018-06-17T00:00:00"/>
    <x v="2"/>
    <x v="0"/>
    <s v="Laptop i7"/>
    <n v="4000"/>
  </r>
  <r>
    <d v="2018-06-20T00:00:00"/>
    <x v="3"/>
    <x v="2"/>
    <s v="USB 3.0.1"/>
    <n v="15"/>
  </r>
  <r>
    <d v="2018-06-19T00:00:00"/>
    <x v="0"/>
    <x v="0"/>
    <s v="Impresora "/>
    <n v="100"/>
  </r>
  <r>
    <d v="2018-07-05T00:00:00"/>
    <x v="1"/>
    <x v="3"/>
    <s v="Pantalla 42"/>
    <n v="100"/>
  </r>
  <r>
    <d v="2018-07-06T00:00:00"/>
    <x v="2"/>
    <x v="0"/>
    <s v="Laptop i3"/>
    <n v="15"/>
  </r>
  <r>
    <d v="2018-07-08T00:00:00"/>
    <x v="3"/>
    <x v="2"/>
    <s v="Pantalla 42"/>
    <n v="100"/>
  </r>
  <r>
    <d v="2018-08-04T00:00:00"/>
    <x v="0"/>
    <x v="3"/>
    <s v="USB 3.0.1"/>
    <n v="15"/>
  </r>
  <r>
    <d v="2018-08-06T00:00:00"/>
    <x v="1"/>
    <x v="2"/>
    <s v="Pantalla 42"/>
    <n v="100"/>
  </r>
  <r>
    <d v="2018-08-07T00:00:00"/>
    <x v="2"/>
    <x v="0"/>
    <s v="Laptop i7"/>
    <n v="4000"/>
  </r>
  <r>
    <d v="2018-09-01T00:00:00"/>
    <x v="3"/>
    <x v="0"/>
    <s v="Pantalla 42"/>
    <n v="100"/>
  </r>
  <r>
    <d v="2018-09-04T00:00:00"/>
    <x v="0"/>
    <x v="1"/>
    <s v="Impresora "/>
    <n v="100"/>
  </r>
  <r>
    <d v="2019-09-05T00:00:00"/>
    <x v="1"/>
    <x v="0"/>
    <s v="Laptop i3"/>
    <n v="1000"/>
  </r>
  <r>
    <d v="2019-09-08T00:00:00"/>
    <x v="2"/>
    <x v="3"/>
    <s v="Laptop i5"/>
    <n v="3500"/>
  </r>
  <r>
    <d v="2019-09-20T00:00:00"/>
    <x v="3"/>
    <x v="1"/>
    <s v="USB 3.0.1"/>
    <n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s v="Laptop i3"/>
    <n v="1000"/>
  </r>
  <r>
    <x v="1"/>
    <x v="1"/>
    <x v="1"/>
    <s v="Impresora "/>
    <n v="200"/>
  </r>
  <r>
    <x v="2"/>
    <x v="2"/>
    <x v="1"/>
    <s v="Laptop i5"/>
    <n v="3500"/>
  </r>
  <r>
    <x v="3"/>
    <x v="3"/>
    <x v="2"/>
    <s v="Impresora "/>
    <n v="100"/>
  </r>
  <r>
    <x v="4"/>
    <x v="0"/>
    <x v="0"/>
    <s v="Pantalla 42"/>
    <n v="100"/>
  </r>
  <r>
    <x v="5"/>
    <x v="1"/>
    <x v="2"/>
    <s v="Teclado"/>
    <n v="20"/>
  </r>
  <r>
    <x v="5"/>
    <x v="2"/>
    <x v="2"/>
    <s v="Mouse"/>
    <n v="10"/>
  </r>
  <r>
    <x v="6"/>
    <x v="3"/>
    <x v="0"/>
    <s v="Teclado"/>
    <n v="20"/>
  </r>
  <r>
    <x v="7"/>
    <x v="3"/>
    <x v="3"/>
    <s v="Laptop i7"/>
    <n v="4000"/>
  </r>
  <r>
    <x v="8"/>
    <x v="0"/>
    <x v="2"/>
    <s v="Laptop i7"/>
    <n v="4000"/>
  </r>
  <r>
    <x v="9"/>
    <x v="1"/>
    <x v="2"/>
    <s v="Pantalla 17"/>
    <n v="180"/>
  </r>
  <r>
    <x v="8"/>
    <x v="2"/>
    <x v="0"/>
    <s v="Mouse"/>
    <n v="10"/>
  </r>
  <r>
    <x v="7"/>
    <x v="3"/>
    <x v="3"/>
    <s v="Teclado"/>
    <n v="30"/>
  </r>
  <r>
    <x v="10"/>
    <x v="0"/>
    <x v="1"/>
    <s v="Laptop i3"/>
    <n v="1000"/>
  </r>
  <r>
    <x v="11"/>
    <x v="1"/>
    <x v="2"/>
    <s v="USB 3.0.1"/>
    <n v="15"/>
  </r>
  <r>
    <x v="12"/>
    <x v="2"/>
    <x v="0"/>
    <s v="Laptop i7"/>
    <n v="4000"/>
  </r>
  <r>
    <x v="13"/>
    <x v="3"/>
    <x v="2"/>
    <s v="USB 3.0.1"/>
    <n v="15"/>
  </r>
  <r>
    <x v="14"/>
    <x v="0"/>
    <x v="0"/>
    <s v="Impresora "/>
    <n v="100"/>
  </r>
  <r>
    <x v="15"/>
    <x v="1"/>
    <x v="3"/>
    <s v="Pantalla 42"/>
    <n v="100"/>
  </r>
  <r>
    <x v="16"/>
    <x v="2"/>
    <x v="0"/>
    <s v="Laptop i3"/>
    <n v="15"/>
  </r>
  <r>
    <x v="17"/>
    <x v="3"/>
    <x v="2"/>
    <s v="Pantalla 42"/>
    <n v="100"/>
  </r>
  <r>
    <x v="18"/>
    <x v="0"/>
    <x v="3"/>
    <s v="USB 3.0.1"/>
    <n v="15"/>
  </r>
  <r>
    <x v="19"/>
    <x v="1"/>
    <x v="2"/>
    <s v="Pantalla 42"/>
    <n v="100"/>
  </r>
  <r>
    <x v="20"/>
    <x v="2"/>
    <x v="0"/>
    <s v="Laptop i7"/>
    <n v="4000"/>
  </r>
  <r>
    <x v="21"/>
    <x v="3"/>
    <x v="0"/>
    <s v="Pantalla 42"/>
    <n v="100"/>
  </r>
  <r>
    <x v="22"/>
    <x v="0"/>
    <x v="1"/>
    <s v="Impresora "/>
    <n v="100"/>
  </r>
  <r>
    <x v="23"/>
    <x v="1"/>
    <x v="0"/>
    <s v="Laptop i3"/>
    <n v="1000"/>
  </r>
  <r>
    <x v="24"/>
    <x v="2"/>
    <x v="3"/>
    <s v="Laptop i5"/>
    <n v="3500"/>
  </r>
  <r>
    <x v="25"/>
    <x v="3"/>
    <x v="1"/>
    <s v="USB 3.0.1"/>
    <n v="1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s v="Laptop i3"/>
    <n v="1000"/>
  </r>
  <r>
    <x v="1"/>
    <x v="1"/>
    <x v="1"/>
    <s v="Impresora "/>
    <n v="200"/>
  </r>
  <r>
    <x v="2"/>
    <x v="2"/>
    <x v="1"/>
    <s v="Laptop i5"/>
    <n v="3500"/>
  </r>
  <r>
    <x v="3"/>
    <x v="3"/>
    <x v="2"/>
    <s v="Impresora "/>
    <n v="100"/>
  </r>
  <r>
    <x v="4"/>
    <x v="0"/>
    <x v="0"/>
    <s v="Pantalla 42"/>
    <n v="100"/>
  </r>
  <r>
    <x v="5"/>
    <x v="1"/>
    <x v="2"/>
    <s v="Teclado"/>
    <n v="20"/>
  </r>
  <r>
    <x v="5"/>
    <x v="2"/>
    <x v="2"/>
    <s v="Mouse"/>
    <n v="10"/>
  </r>
  <r>
    <x v="6"/>
    <x v="3"/>
    <x v="0"/>
    <s v="Teclado"/>
    <n v="20"/>
  </r>
  <r>
    <x v="7"/>
    <x v="3"/>
    <x v="3"/>
    <s v="Laptop i7"/>
    <n v="4000"/>
  </r>
  <r>
    <x v="8"/>
    <x v="0"/>
    <x v="2"/>
    <s v="Laptop i7"/>
    <n v="4000"/>
  </r>
  <r>
    <x v="9"/>
    <x v="1"/>
    <x v="2"/>
    <s v="Pantalla 17"/>
    <n v="180"/>
  </r>
  <r>
    <x v="8"/>
    <x v="2"/>
    <x v="0"/>
    <s v="Mouse"/>
    <n v="10"/>
  </r>
  <r>
    <x v="7"/>
    <x v="3"/>
    <x v="3"/>
    <s v="Teclado"/>
    <n v="30"/>
  </r>
  <r>
    <x v="10"/>
    <x v="0"/>
    <x v="1"/>
    <s v="Laptop i3"/>
    <n v="1000"/>
  </r>
  <r>
    <x v="11"/>
    <x v="1"/>
    <x v="2"/>
    <s v="USB 3.0.1"/>
    <n v="15"/>
  </r>
  <r>
    <x v="12"/>
    <x v="2"/>
    <x v="0"/>
    <s v="Laptop i7"/>
    <n v="4000"/>
  </r>
  <r>
    <x v="13"/>
    <x v="3"/>
    <x v="2"/>
    <s v="USB 3.0.1"/>
    <n v="15"/>
  </r>
  <r>
    <x v="14"/>
    <x v="0"/>
    <x v="0"/>
    <s v="Impresora "/>
    <n v="100"/>
  </r>
  <r>
    <x v="15"/>
    <x v="1"/>
    <x v="3"/>
    <s v="Pantalla 42"/>
    <n v="100"/>
  </r>
  <r>
    <x v="16"/>
    <x v="2"/>
    <x v="0"/>
    <s v="Laptop i3"/>
    <n v="15"/>
  </r>
  <r>
    <x v="17"/>
    <x v="3"/>
    <x v="2"/>
    <s v="Pantalla 42"/>
    <n v="100"/>
  </r>
  <r>
    <x v="18"/>
    <x v="0"/>
    <x v="3"/>
    <s v="USB 3.0.1"/>
    <n v="15"/>
  </r>
  <r>
    <x v="19"/>
    <x v="1"/>
    <x v="2"/>
    <s v="Pantalla 42"/>
    <n v="100"/>
  </r>
  <r>
    <x v="20"/>
    <x v="2"/>
    <x v="0"/>
    <s v="Laptop i7"/>
    <n v="4000"/>
  </r>
  <r>
    <x v="21"/>
    <x v="3"/>
    <x v="0"/>
    <s v="Pantalla 42"/>
    <n v="100"/>
  </r>
  <r>
    <x v="22"/>
    <x v="0"/>
    <x v="1"/>
    <s v="Impresora "/>
    <n v="100"/>
  </r>
  <r>
    <x v="23"/>
    <x v="1"/>
    <x v="0"/>
    <s v="Laptop i3"/>
    <n v="1000"/>
  </r>
  <r>
    <x v="24"/>
    <x v="2"/>
    <x v="3"/>
    <s v="Laptop i5"/>
    <n v="3500"/>
  </r>
  <r>
    <x v="25"/>
    <x v="3"/>
    <x v="1"/>
    <s v="USB 3.0.1"/>
    <n v="1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s v="Laptop i3"/>
    <n v="1000"/>
  </r>
  <r>
    <x v="1"/>
    <x v="1"/>
    <x v="1"/>
    <s v="Impresora "/>
    <n v="200"/>
  </r>
  <r>
    <x v="2"/>
    <x v="2"/>
    <x v="1"/>
    <s v="Laptop i5"/>
    <n v="3500"/>
  </r>
  <r>
    <x v="3"/>
    <x v="3"/>
    <x v="2"/>
    <s v="Impresora "/>
    <n v="100"/>
  </r>
  <r>
    <x v="4"/>
    <x v="0"/>
    <x v="0"/>
    <s v="Pantalla 42"/>
    <n v="100"/>
  </r>
  <r>
    <x v="5"/>
    <x v="1"/>
    <x v="2"/>
    <s v="Teclado"/>
    <n v="20"/>
  </r>
  <r>
    <x v="5"/>
    <x v="2"/>
    <x v="2"/>
    <s v="Mouse"/>
    <n v="10"/>
  </r>
  <r>
    <x v="6"/>
    <x v="3"/>
    <x v="0"/>
    <s v="Teclado"/>
    <n v="20"/>
  </r>
  <r>
    <x v="7"/>
    <x v="3"/>
    <x v="3"/>
    <s v="Laptop i7"/>
    <n v="4000"/>
  </r>
  <r>
    <x v="8"/>
    <x v="0"/>
    <x v="2"/>
    <s v="Laptop i7"/>
    <n v="4000"/>
  </r>
  <r>
    <x v="9"/>
    <x v="1"/>
    <x v="2"/>
    <s v="Pantalla 17"/>
    <n v="180"/>
  </r>
  <r>
    <x v="8"/>
    <x v="2"/>
    <x v="0"/>
    <s v="Mouse"/>
    <n v="10"/>
  </r>
  <r>
    <x v="7"/>
    <x v="3"/>
    <x v="3"/>
    <s v="Teclado"/>
    <n v="30"/>
  </r>
  <r>
    <x v="10"/>
    <x v="0"/>
    <x v="1"/>
    <s v="Laptop i3"/>
    <n v="1000"/>
  </r>
  <r>
    <x v="11"/>
    <x v="1"/>
    <x v="2"/>
    <s v="USB 3.0.1"/>
    <n v="15"/>
  </r>
  <r>
    <x v="12"/>
    <x v="2"/>
    <x v="0"/>
    <s v="Laptop i7"/>
    <n v="4000"/>
  </r>
  <r>
    <x v="13"/>
    <x v="3"/>
    <x v="2"/>
    <s v="USB 3.0.1"/>
    <n v="15"/>
  </r>
  <r>
    <x v="14"/>
    <x v="0"/>
    <x v="0"/>
    <s v="Impresora "/>
    <n v="100"/>
  </r>
  <r>
    <x v="15"/>
    <x v="1"/>
    <x v="3"/>
    <s v="Pantalla 42"/>
    <n v="100"/>
  </r>
  <r>
    <x v="16"/>
    <x v="2"/>
    <x v="0"/>
    <s v="Laptop i3"/>
    <n v="15"/>
  </r>
  <r>
    <x v="17"/>
    <x v="3"/>
    <x v="2"/>
    <s v="Pantalla 42"/>
    <n v="100"/>
  </r>
  <r>
    <x v="18"/>
    <x v="0"/>
    <x v="3"/>
    <s v="USB 3.0.1"/>
    <n v="15"/>
  </r>
  <r>
    <x v="19"/>
    <x v="1"/>
    <x v="2"/>
    <s v="Pantalla 42"/>
    <n v="100"/>
  </r>
  <r>
    <x v="20"/>
    <x v="2"/>
    <x v="0"/>
    <s v="Laptop i7"/>
    <n v="4000"/>
  </r>
  <r>
    <x v="21"/>
    <x v="3"/>
    <x v="0"/>
    <s v="Pantalla 42"/>
    <n v="100"/>
  </r>
  <r>
    <x v="22"/>
    <x v="0"/>
    <x v="1"/>
    <s v="Impresora "/>
    <n v="100"/>
  </r>
  <r>
    <x v="23"/>
    <x v="1"/>
    <x v="0"/>
    <s v="Laptop i3"/>
    <n v="1000"/>
  </r>
  <r>
    <x v="24"/>
    <x v="2"/>
    <x v="3"/>
    <s v="Laptop i5"/>
    <n v="3500"/>
  </r>
  <r>
    <x v="25"/>
    <x v="3"/>
    <x v="1"/>
    <s v="USB 3.0.1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3FB808-FEA0-4169-9EF7-A2C658B8F2FD}" name="TablaDinámica5" cacheId="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5:O20" firstHeaderRow="1" firstDataRow="2" firstDataCol="1" rowPageCount="1" colPageCount="1"/>
  <pivotFields count="8">
    <pivotField numFmtId="14" showAll="0">
      <items count="27">
        <item x="0"/>
        <item x="1"/>
        <item x="2"/>
        <item x="4"/>
        <item x="3"/>
        <item x="7"/>
        <item x="8"/>
        <item x="5"/>
        <item x="6"/>
        <item x="9"/>
        <item x="10"/>
        <item x="11"/>
        <item x="12"/>
        <item x="14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Page" showAll="0">
      <items count="5">
        <item x="0"/>
        <item x="3"/>
        <item x="1"/>
        <item x="2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showAll="0"/>
    <pivotField dataField="1" numFmtId="165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2">
    <field x="7"/>
    <field x="5"/>
  </rowFields>
  <rowItems count="4">
    <i>
      <x v="1"/>
    </i>
    <i>
      <x v="2"/>
    </i>
    <i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Suma de Import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1C4C05-512F-4CA0-8D80-467E033053FE}" name="TablaDinámica4" cacheId="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5:K40" firstHeaderRow="1" firstDataRow="1" firstDataCol="1" rowPageCount="1" colPageCount="1"/>
  <pivotFields count="8">
    <pivotField numFmtId="14" showAll="0">
      <items count="27">
        <item x="0"/>
        <item x="1"/>
        <item x="2"/>
        <item x="4"/>
        <item x="3"/>
        <item x="7"/>
        <item x="8"/>
        <item x="5"/>
        <item x="6"/>
        <item x="9"/>
        <item x="10"/>
        <item x="11"/>
        <item x="12"/>
        <item x="14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Row" showAll="0">
      <items count="5">
        <item x="0"/>
        <item x="3"/>
        <item x="1"/>
        <item x="2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showAll="0"/>
    <pivotField dataField="1" numFmtId="165" showAll="0"/>
    <pivotField axis="axisRow" showAll="0">
      <items count="15">
        <item sd="0" x="0"/>
        <item sd="0" x="1"/>
        <item sd="0"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sd="0" x="2"/>
        <item sd="0" x="3"/>
        <item sd="0" x="4"/>
        <item t="default"/>
      </items>
    </pivotField>
  </pivotFields>
  <rowFields count="3">
    <field x="1"/>
    <field x="7"/>
    <field x="5"/>
  </rowFields>
  <rowItems count="25">
    <i>
      <x/>
    </i>
    <i r="1">
      <x v="1"/>
    </i>
    <i r="2">
      <x v="3"/>
    </i>
    <i r="2">
      <x v="4"/>
    </i>
    <i r="2">
      <x v="5"/>
    </i>
    <i r="1">
      <x v="2"/>
    </i>
    <i>
      <x v="1"/>
    </i>
    <i r="1">
      <x v="1"/>
    </i>
    <i r="2">
      <x v="4"/>
    </i>
    <i r="2">
      <x v="5"/>
    </i>
    <i r="1">
      <x v="2"/>
    </i>
    <i r="1">
      <x v="3"/>
    </i>
    <i>
      <x v="2"/>
    </i>
    <i r="1">
      <x v="1"/>
    </i>
    <i r="2">
      <x v="3"/>
    </i>
    <i r="2">
      <x v="5"/>
    </i>
    <i r="1">
      <x v="2"/>
    </i>
    <i r="1">
      <x v="3"/>
    </i>
    <i>
      <x v="3"/>
    </i>
    <i r="1">
      <x v="1"/>
    </i>
    <i r="2">
      <x v="3"/>
    </i>
    <i r="2">
      <x v="5"/>
    </i>
    <i r="1">
      <x v="2"/>
    </i>
    <i r="1">
      <x v="3"/>
    </i>
    <i t="grand">
      <x/>
    </i>
  </rowItems>
  <colItems count="1">
    <i/>
  </colItems>
  <pageFields count="1">
    <pageField fld="2" hier="-1"/>
  </pageFields>
  <dataFields count="1">
    <dataField name="Máx. de Importe" fld="4" subtotal="max" baseField="7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8AABF-06B2-4282-A1A5-1B82225FDC4D}" name="TablaDinámica3" cacheId="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I11:J32" firstHeaderRow="1" firstDataRow="1" firstDataCol="1"/>
  <pivotFields count="5">
    <pivotField numFmtId="14" showAll="0">
      <items count="27">
        <item x="0"/>
        <item x="1"/>
        <item x="2"/>
        <item x="4"/>
        <item x="3"/>
        <item x="7"/>
        <item x="8"/>
        <item x="5"/>
        <item x="6"/>
        <item x="9"/>
        <item x="10"/>
        <item x="11"/>
        <item x="12"/>
        <item x="14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Row" showAll="0">
      <items count="5">
        <item x="0"/>
        <item x="3"/>
        <item x="1"/>
        <item x="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dataField="1" numFmtId="165" showAll="0"/>
  </pivotFields>
  <rowFields count="2">
    <field x="1"/>
    <field x="2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Promedio de Importe" fld="4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3914B-1404-4BB2-BDE9-70342496836F}" name="TablaDinámica1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5:L36" firstHeaderRow="0" firstDataRow="1" firstDataCol="1"/>
  <pivotFields count="6">
    <pivotField numFmtId="14" showAll="0"/>
    <pivotField axis="axisRow" showAll="0">
      <items count="5">
        <item x="0"/>
        <item x="3"/>
        <item x="1"/>
        <item x="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dataField="1" numFmtId="165" showAll="0"/>
    <pivotField dataField="1" dragToRow="0" dragToCol="0" dragToPage="0" showAll="0" defaultSubtotal="0"/>
  </pivotFields>
  <rowFields count="2">
    <field x="1"/>
    <field x="2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mporte" fld="4" baseField="0" baseItem="0"/>
    <dataField name="Suma de Extra" fld="5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E5498AAE-C44B-483D-A40B-AB0BB20EAA3A}" sourceName="Vendedor">
  <pivotTables>
    <pivotTable tabId="4" name="TablaDinámica5"/>
  </pivotTables>
  <data>
    <tabular pivotCacheId="1707541767">
      <items count="4">
        <i x="0" s="1"/>
        <i x="3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2C23F4D5-9BC8-4211-AD36-8EAACA7713B0}" cache="SegmentaciónDeDatos_Vendedor" caption="Vendedor" rowHeight="23495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B61A0F-9833-453C-BCC6-6DDF3A47BE8F}" sourceName="Fecha">
  <pivotTables>
    <pivotTable tabId="6" name="TablaDinámica3"/>
  </pivotTables>
  <state minimalRefreshVersion="6" lastRefreshVersion="6" pivotCacheId="131828243" filterType="unknown">
    <bounds startDate="2017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5335966B-4C47-47E9-87CF-40D5180B4A65}" cache="NativeTimeline_Fecha" caption="Fecha" level="2" selectionLevel="2" scrollPosition="2019-05-29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C2:L17"/>
  <sheetViews>
    <sheetView showGridLines="0" zoomScaleNormal="100" workbookViewId="0">
      <selection activeCell="D27" sqref="D27"/>
    </sheetView>
  </sheetViews>
  <sheetFormatPr baseColWidth="10" defaultRowHeight="14.4" x14ac:dyDescent="0.3"/>
  <cols>
    <col min="1" max="1" width="4.33203125" customWidth="1"/>
    <col min="2" max="2" width="5" customWidth="1"/>
    <col min="3" max="3" width="14.33203125" customWidth="1"/>
    <col min="5" max="5" width="13.5546875" customWidth="1"/>
    <col min="6" max="6" width="13" customWidth="1"/>
    <col min="7" max="7" width="12.5546875" customWidth="1"/>
    <col min="11" max="11" width="13.6640625" customWidth="1"/>
    <col min="12" max="12" width="19.5546875" customWidth="1"/>
  </cols>
  <sheetData>
    <row r="2" spans="3:12" x14ac:dyDescent="0.3"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</row>
    <row r="3" spans="3:12" x14ac:dyDescent="0.3">
      <c r="C3" s="2" t="s">
        <v>64</v>
      </c>
      <c r="D3" s="3">
        <v>12</v>
      </c>
      <c r="E3" s="2">
        <v>2</v>
      </c>
      <c r="F3" s="3">
        <v>24</v>
      </c>
      <c r="G3" s="4">
        <v>45594</v>
      </c>
    </row>
    <row r="4" spans="3:12" x14ac:dyDescent="0.3">
      <c r="C4" s="2" t="s">
        <v>65</v>
      </c>
      <c r="D4" s="2">
        <v>22</v>
      </c>
      <c r="E4" s="2">
        <v>3</v>
      </c>
      <c r="F4" s="2">
        <v>66</v>
      </c>
      <c r="G4" s="4">
        <v>45594</v>
      </c>
      <c r="K4" s="5"/>
      <c r="L4" s="6"/>
    </row>
    <row r="5" spans="3:12" x14ac:dyDescent="0.3">
      <c r="C5" s="2" t="s">
        <v>66</v>
      </c>
      <c r="D5" s="2">
        <v>22</v>
      </c>
      <c r="E5" s="2">
        <v>3</v>
      </c>
      <c r="F5" s="2">
        <v>66</v>
      </c>
      <c r="G5" s="4">
        <v>45594</v>
      </c>
      <c r="K5" s="5"/>
      <c r="L5" s="7"/>
    </row>
    <row r="6" spans="3:12" x14ac:dyDescent="0.3">
      <c r="C6" s="2" t="s">
        <v>67</v>
      </c>
      <c r="D6" s="2">
        <v>223</v>
      </c>
      <c r="E6" s="2">
        <v>3</v>
      </c>
      <c r="F6" s="2">
        <v>669</v>
      </c>
      <c r="G6" s="4">
        <v>45594</v>
      </c>
      <c r="K6" s="5"/>
      <c r="L6" s="6"/>
    </row>
    <row r="7" spans="3:12" x14ac:dyDescent="0.3">
      <c r="C7" s="2" t="s">
        <v>68</v>
      </c>
      <c r="D7" s="2">
        <v>2</v>
      </c>
      <c r="E7" s="2">
        <v>2</v>
      </c>
      <c r="F7" s="2">
        <v>4</v>
      </c>
      <c r="G7" s="4">
        <v>45594</v>
      </c>
      <c r="K7" s="5"/>
      <c r="L7" s="7"/>
    </row>
    <row r="8" spans="3:12" x14ac:dyDescent="0.3">
      <c r="C8" s="2" t="s">
        <v>71</v>
      </c>
      <c r="D8" s="2">
        <v>1</v>
      </c>
      <c r="E8" s="2">
        <v>2</v>
      </c>
      <c r="F8" s="2">
        <v>2</v>
      </c>
      <c r="G8" s="4">
        <v>45594</v>
      </c>
      <c r="K8" s="5"/>
      <c r="L8" s="8"/>
    </row>
    <row r="9" spans="3:12" x14ac:dyDescent="0.3">
      <c r="C9" s="2" t="s">
        <v>72</v>
      </c>
      <c r="D9" s="2">
        <v>2</v>
      </c>
      <c r="E9" s="2">
        <v>3</v>
      </c>
      <c r="F9" s="2">
        <v>6</v>
      </c>
      <c r="G9" s="4">
        <v>45594</v>
      </c>
    </row>
    <row r="10" spans="3:12" x14ac:dyDescent="0.3">
      <c r="C10" s="2" t="s">
        <v>73</v>
      </c>
      <c r="D10" s="2">
        <v>3</v>
      </c>
      <c r="E10" s="2">
        <v>3</v>
      </c>
      <c r="F10" s="2">
        <v>9</v>
      </c>
      <c r="G10" s="4">
        <v>45594</v>
      </c>
    </row>
    <row r="11" spans="3:12" x14ac:dyDescent="0.3">
      <c r="C11" s="2"/>
      <c r="D11" s="2"/>
      <c r="E11" s="2"/>
      <c r="F11" s="2"/>
      <c r="G11" s="2"/>
    </row>
    <row r="12" spans="3:12" x14ac:dyDescent="0.3">
      <c r="C12" s="2"/>
      <c r="D12" s="2"/>
      <c r="E12" s="2"/>
      <c r="F12" s="2"/>
      <c r="G12" s="2"/>
    </row>
    <row r="13" spans="3:12" x14ac:dyDescent="0.3">
      <c r="C13" s="2"/>
      <c r="D13" s="2"/>
      <c r="E13" s="2"/>
      <c r="F13" s="2"/>
      <c r="G13" s="2"/>
    </row>
    <row r="14" spans="3:12" x14ac:dyDescent="0.3">
      <c r="C14" s="2"/>
      <c r="D14" s="2"/>
      <c r="E14" s="2"/>
      <c r="F14" s="2"/>
      <c r="G14" s="2"/>
    </row>
    <row r="15" spans="3:12" x14ac:dyDescent="0.3">
      <c r="C15" s="2"/>
      <c r="D15" s="2"/>
      <c r="E15" s="2"/>
      <c r="F15" s="2"/>
      <c r="G15" s="2"/>
    </row>
    <row r="16" spans="3:12" x14ac:dyDescent="0.3">
      <c r="C16" s="2"/>
      <c r="D16" s="2"/>
      <c r="E16" s="2"/>
      <c r="F16" s="2"/>
      <c r="G16" s="2"/>
    </row>
    <row r="17" spans="3:7" x14ac:dyDescent="0.3">
      <c r="C17" s="2"/>
      <c r="D17" s="2"/>
      <c r="E17" s="2"/>
      <c r="F17" s="2"/>
      <c r="G17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J7:L15"/>
  <sheetViews>
    <sheetView showGridLines="0" zoomScale="145" zoomScaleNormal="145" workbookViewId="0">
      <selection activeCell="L7" sqref="L7"/>
    </sheetView>
  </sheetViews>
  <sheetFormatPr baseColWidth="10" defaultRowHeight="14.4" x14ac:dyDescent="0.3"/>
  <cols>
    <col min="10" max="10" width="10.5546875" customWidth="1"/>
    <col min="11" max="11" width="1.77734375" customWidth="1"/>
    <col min="12" max="12" width="20" customWidth="1"/>
    <col min="13" max="13" width="14.44140625" customWidth="1"/>
  </cols>
  <sheetData>
    <row r="7" spans="10:12" x14ac:dyDescent="0.3">
      <c r="J7" t="s">
        <v>0</v>
      </c>
      <c r="L7" s="2"/>
    </row>
    <row r="9" spans="10:12" x14ac:dyDescent="0.3">
      <c r="J9" t="s">
        <v>1</v>
      </c>
      <c r="L9" s="29"/>
    </row>
    <row r="11" spans="10:12" x14ac:dyDescent="0.3">
      <c r="J11" t="s">
        <v>2</v>
      </c>
      <c r="L11" s="29"/>
    </row>
    <row r="13" spans="10:12" x14ac:dyDescent="0.3">
      <c r="J13" t="s">
        <v>3</v>
      </c>
      <c r="L13" s="29">
        <f>L9*L11</f>
        <v>0</v>
      </c>
    </row>
    <row r="15" spans="10:12" x14ac:dyDescent="0.3">
      <c r="J15" t="s">
        <v>4</v>
      </c>
      <c r="L15" s="4">
        <f ca="1">TODAY()</f>
        <v>45594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E13"/>
  <sheetViews>
    <sheetView zoomScaleNormal="100" workbookViewId="0">
      <selection activeCell="R20" sqref="R20"/>
    </sheetView>
  </sheetViews>
  <sheetFormatPr baseColWidth="10" defaultRowHeight="14.4" x14ac:dyDescent="0.3"/>
  <cols>
    <col min="1" max="1" width="3" bestFit="1" customWidth="1"/>
    <col min="2" max="2" width="20" bestFit="1" customWidth="1"/>
    <col min="3" max="3" width="5.6640625" bestFit="1" customWidth="1"/>
    <col min="4" max="4" width="13.77734375" bestFit="1" customWidth="1"/>
    <col min="5" max="5" width="9.88671875" bestFit="1" customWidth="1"/>
  </cols>
  <sheetData>
    <row r="2" spans="1:5" ht="19.95" customHeight="1" x14ac:dyDescent="0.3">
      <c r="A2" s="30" t="s">
        <v>5</v>
      </c>
      <c r="B2" s="30" t="s">
        <v>6</v>
      </c>
      <c r="C2" s="30" t="s">
        <v>7</v>
      </c>
      <c r="D2" s="30" t="s">
        <v>8</v>
      </c>
      <c r="E2" s="30" t="s">
        <v>9</v>
      </c>
    </row>
    <row r="3" spans="1:5" ht="19.95" customHeight="1" x14ac:dyDescent="0.3">
      <c r="A3" s="31">
        <v>1</v>
      </c>
      <c r="B3" s="31" t="s">
        <v>10</v>
      </c>
      <c r="C3" s="31">
        <v>36</v>
      </c>
      <c r="D3" s="31" t="s">
        <v>11</v>
      </c>
      <c r="E3" s="31" t="s">
        <v>12</v>
      </c>
    </row>
    <row r="4" spans="1:5" ht="19.95" customHeight="1" x14ac:dyDescent="0.3">
      <c r="A4" s="31">
        <v>2</v>
      </c>
      <c r="B4" s="31" t="s">
        <v>13</v>
      </c>
      <c r="C4" s="31">
        <v>27</v>
      </c>
      <c r="D4" s="31" t="s">
        <v>14</v>
      </c>
      <c r="E4" s="31" t="s">
        <v>15</v>
      </c>
    </row>
    <row r="5" spans="1:5" ht="19.95" customHeight="1" x14ac:dyDescent="0.3">
      <c r="A5" s="31">
        <v>3</v>
      </c>
      <c r="B5" s="31" t="s">
        <v>16</v>
      </c>
      <c r="C5" s="31">
        <v>29</v>
      </c>
      <c r="D5" s="31" t="s">
        <v>17</v>
      </c>
      <c r="E5" s="31" t="s">
        <v>18</v>
      </c>
    </row>
    <row r="6" spans="1:5" ht="19.95" customHeight="1" x14ac:dyDescent="0.3">
      <c r="A6" s="31">
        <v>4</v>
      </c>
      <c r="B6" s="31" t="s">
        <v>19</v>
      </c>
      <c r="C6" s="31">
        <v>39</v>
      </c>
      <c r="D6" s="31" t="s">
        <v>20</v>
      </c>
      <c r="E6" s="31" t="s">
        <v>21</v>
      </c>
    </row>
    <row r="7" spans="1:5" ht="19.95" customHeight="1" x14ac:dyDescent="0.3">
      <c r="A7" s="31">
        <v>5</v>
      </c>
      <c r="B7" s="31" t="s">
        <v>22</v>
      </c>
      <c r="C7" s="31">
        <v>56</v>
      </c>
      <c r="D7" s="31" t="s">
        <v>11</v>
      </c>
      <c r="E7" s="31" t="s">
        <v>12</v>
      </c>
    </row>
    <row r="8" spans="1:5" ht="19.95" customHeight="1" x14ac:dyDescent="0.3">
      <c r="A8" s="31">
        <v>6</v>
      </c>
      <c r="B8" s="31" t="s">
        <v>23</v>
      </c>
      <c r="C8" s="31">
        <v>28</v>
      </c>
      <c r="D8" s="31" t="s">
        <v>24</v>
      </c>
      <c r="E8" s="31" t="s">
        <v>25</v>
      </c>
    </row>
    <row r="9" spans="1:5" ht="19.95" customHeight="1" x14ac:dyDescent="0.3">
      <c r="A9" s="31">
        <v>7</v>
      </c>
      <c r="B9" s="31" t="s">
        <v>26</v>
      </c>
      <c r="C9" s="31">
        <v>54</v>
      </c>
      <c r="D9" s="31" t="s">
        <v>27</v>
      </c>
      <c r="E9" s="31" t="s">
        <v>15</v>
      </c>
    </row>
    <row r="10" spans="1:5" ht="19.95" customHeight="1" x14ac:dyDescent="0.3">
      <c r="A10" s="31">
        <v>8</v>
      </c>
      <c r="B10" s="31" t="s">
        <v>28</v>
      </c>
      <c r="C10" s="31">
        <v>43</v>
      </c>
      <c r="D10" s="31" t="s">
        <v>17</v>
      </c>
      <c r="E10" s="31" t="s">
        <v>18</v>
      </c>
    </row>
    <row r="11" spans="1:5" ht="19.95" customHeight="1" x14ac:dyDescent="0.3">
      <c r="A11" s="31">
        <v>9</v>
      </c>
      <c r="B11" s="31" t="s">
        <v>29</v>
      </c>
      <c r="C11" s="31">
        <v>38</v>
      </c>
      <c r="D11" s="31" t="s">
        <v>14</v>
      </c>
      <c r="E11" s="31" t="s">
        <v>21</v>
      </c>
    </row>
    <row r="12" spans="1:5" ht="20.100000000000001" customHeight="1" x14ac:dyDescent="0.3">
      <c r="A12" s="31">
        <v>10</v>
      </c>
      <c r="B12" s="31" t="s">
        <v>30</v>
      </c>
      <c r="C12" s="31">
        <v>27</v>
      </c>
      <c r="D12" s="31" t="s">
        <v>11</v>
      </c>
      <c r="E12" s="31" t="s">
        <v>31</v>
      </c>
    </row>
    <row r="13" spans="1:5" ht="8.25" customHeight="1" x14ac:dyDescent="0.3"/>
  </sheetData>
  <sortState xmlns:xlrd2="http://schemas.microsoft.com/office/spreadsheetml/2017/richdata2" ref="A3:E12">
    <sortCondition ref="A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O35"/>
  <sheetViews>
    <sheetView zoomScale="70" zoomScaleNormal="70" workbookViewId="0">
      <selection activeCell="J29" sqref="J29"/>
    </sheetView>
  </sheetViews>
  <sheetFormatPr baseColWidth="10" defaultRowHeight="14.4" x14ac:dyDescent="0.3"/>
  <cols>
    <col min="1" max="1" width="5" customWidth="1"/>
    <col min="2" max="2" width="18.6640625" customWidth="1"/>
    <col min="3" max="4" width="29" customWidth="1"/>
    <col min="5" max="5" width="21" customWidth="1"/>
    <col min="6" max="6" width="27.88671875" customWidth="1"/>
    <col min="8" max="8" width="23.44140625" bestFit="1" customWidth="1"/>
    <col min="9" max="9" width="29.6640625" customWidth="1"/>
    <col min="10" max="10" width="22.77734375" bestFit="1" customWidth="1"/>
    <col min="11" max="11" width="28.88671875" bestFit="1" customWidth="1"/>
    <col min="12" max="14" width="11.33203125" bestFit="1" customWidth="1"/>
    <col min="15" max="15" width="16.21875" bestFit="1" customWidth="1"/>
    <col min="16" max="16" width="5.5546875" bestFit="1" customWidth="1"/>
    <col min="17" max="17" width="11.33203125" bestFit="1" customWidth="1"/>
    <col min="18" max="18" width="8.44140625" bestFit="1" customWidth="1"/>
    <col min="19" max="19" width="5.5546875" bestFit="1" customWidth="1"/>
    <col min="20" max="20" width="4.44140625" bestFit="1" customWidth="1"/>
    <col min="21" max="21" width="11.33203125" bestFit="1" customWidth="1"/>
    <col min="22" max="22" width="10.33203125" bestFit="1" customWidth="1"/>
    <col min="23" max="23" width="8.44140625" bestFit="1" customWidth="1"/>
    <col min="24" max="24" width="11.33203125" bestFit="1" customWidth="1"/>
    <col min="25" max="25" width="10.33203125" bestFit="1" customWidth="1"/>
    <col min="26" max="26" width="12.33203125" bestFit="1" customWidth="1"/>
    <col min="27" max="33" width="10.6640625" bestFit="1" customWidth="1"/>
    <col min="34" max="34" width="11.88671875" bestFit="1" customWidth="1"/>
    <col min="35" max="35" width="12.33203125" bestFit="1" customWidth="1"/>
  </cols>
  <sheetData>
    <row r="2" spans="2:15" ht="37.5" customHeight="1" x14ac:dyDescent="0.3">
      <c r="B2" s="9" t="s">
        <v>4</v>
      </c>
      <c r="C2" s="9" t="s">
        <v>32</v>
      </c>
      <c r="D2" s="9" t="s">
        <v>33</v>
      </c>
      <c r="E2" s="9" t="s">
        <v>0</v>
      </c>
      <c r="F2" s="9" t="s">
        <v>34</v>
      </c>
      <c r="G2" s="10"/>
    </row>
    <row r="3" spans="2:15" ht="18" customHeight="1" x14ac:dyDescent="0.3">
      <c r="B3" s="11">
        <v>42811</v>
      </c>
      <c r="C3" s="12" t="s">
        <v>35</v>
      </c>
      <c r="D3" s="12" t="s">
        <v>36</v>
      </c>
      <c r="E3" s="12" t="s">
        <v>37</v>
      </c>
      <c r="F3" s="13">
        <v>1000</v>
      </c>
    </row>
    <row r="4" spans="2:15" ht="18" customHeight="1" x14ac:dyDescent="0.3">
      <c r="B4" s="11">
        <v>42814</v>
      </c>
      <c r="C4" s="12" t="s">
        <v>38</v>
      </c>
      <c r="D4" s="12" t="s">
        <v>39</v>
      </c>
      <c r="E4" s="12" t="s">
        <v>40</v>
      </c>
      <c r="F4" s="13">
        <v>200</v>
      </c>
    </row>
    <row r="5" spans="2:15" ht="18" customHeight="1" x14ac:dyDescent="0.3">
      <c r="B5" s="11">
        <v>42816</v>
      </c>
      <c r="C5" s="12" t="s">
        <v>41</v>
      </c>
      <c r="D5" s="12" t="s">
        <v>39</v>
      </c>
      <c r="E5" s="12" t="s">
        <v>42</v>
      </c>
      <c r="F5" s="13">
        <v>3500</v>
      </c>
    </row>
    <row r="6" spans="2:15" ht="18" customHeight="1" x14ac:dyDescent="0.3">
      <c r="B6" s="11">
        <v>42845</v>
      </c>
      <c r="C6" s="12" t="s">
        <v>43</v>
      </c>
      <c r="D6" s="12" t="s">
        <v>44</v>
      </c>
      <c r="E6" s="12" t="s">
        <v>40</v>
      </c>
      <c r="F6" s="13">
        <v>100</v>
      </c>
    </row>
    <row r="7" spans="2:15" x14ac:dyDescent="0.3">
      <c r="B7" s="11">
        <v>42842</v>
      </c>
      <c r="C7" s="12" t="s">
        <v>35</v>
      </c>
      <c r="D7" s="12" t="s">
        <v>36</v>
      </c>
      <c r="E7" s="12" t="s">
        <v>45</v>
      </c>
      <c r="F7" s="13">
        <v>100</v>
      </c>
    </row>
    <row r="8" spans="2:15" ht="18" customHeight="1" x14ac:dyDescent="0.3">
      <c r="B8" s="11">
        <v>42877</v>
      </c>
      <c r="C8" s="12" t="s">
        <v>38</v>
      </c>
      <c r="D8" s="12" t="s">
        <v>44</v>
      </c>
      <c r="E8" s="12" t="s">
        <v>46</v>
      </c>
      <c r="F8" s="13">
        <v>20</v>
      </c>
    </row>
    <row r="9" spans="2:15" ht="18" customHeight="1" x14ac:dyDescent="0.3">
      <c r="B9" s="11">
        <v>42877</v>
      </c>
      <c r="C9" s="12" t="s">
        <v>41</v>
      </c>
      <c r="D9" s="12" t="s">
        <v>44</v>
      </c>
      <c r="E9" s="12" t="s">
        <v>47</v>
      </c>
      <c r="F9" s="13">
        <v>10</v>
      </c>
      <c r="H9" s="14"/>
    </row>
    <row r="10" spans="2:15" ht="18" customHeight="1" x14ac:dyDescent="0.3">
      <c r="B10" s="15">
        <v>42879</v>
      </c>
      <c r="C10" s="16" t="s">
        <v>43</v>
      </c>
      <c r="D10" s="12" t="s">
        <v>36</v>
      </c>
      <c r="E10" s="16" t="s">
        <v>46</v>
      </c>
      <c r="F10" s="17">
        <v>20</v>
      </c>
      <c r="H10" s="14"/>
    </row>
    <row r="11" spans="2:15" ht="18" customHeight="1" x14ac:dyDescent="0.3">
      <c r="B11" s="18">
        <v>42872</v>
      </c>
      <c r="C11" s="19" t="s">
        <v>43</v>
      </c>
      <c r="D11" s="19" t="s">
        <v>48</v>
      </c>
      <c r="E11" s="19" t="s">
        <v>49</v>
      </c>
      <c r="F11" s="20">
        <v>4000</v>
      </c>
      <c r="H11" s="14"/>
    </row>
    <row r="12" spans="2:15" ht="18" customHeight="1" x14ac:dyDescent="0.3">
      <c r="B12" s="18">
        <v>42875</v>
      </c>
      <c r="C12" s="19" t="s">
        <v>35</v>
      </c>
      <c r="D12" s="12" t="s">
        <v>44</v>
      </c>
      <c r="E12" s="19" t="s">
        <v>49</v>
      </c>
      <c r="F12" s="20">
        <v>4000</v>
      </c>
      <c r="H12" s="14"/>
    </row>
    <row r="13" spans="2:15" ht="18" customHeight="1" x14ac:dyDescent="0.3">
      <c r="B13" s="18">
        <v>42882</v>
      </c>
      <c r="C13" s="19" t="s">
        <v>38</v>
      </c>
      <c r="D13" s="12" t="s">
        <v>44</v>
      </c>
      <c r="E13" s="19" t="s">
        <v>50</v>
      </c>
      <c r="F13" s="20">
        <v>180</v>
      </c>
      <c r="H13" s="14"/>
      <c r="J13" s="26" t="s">
        <v>32</v>
      </c>
      <c r="K13" t="s">
        <v>59</v>
      </c>
    </row>
    <row r="14" spans="2:15" ht="18" customHeight="1" x14ac:dyDescent="0.3">
      <c r="B14" s="18">
        <v>42875</v>
      </c>
      <c r="C14" s="19" t="s">
        <v>41</v>
      </c>
      <c r="D14" s="12" t="s">
        <v>36</v>
      </c>
      <c r="E14" s="19" t="s">
        <v>47</v>
      </c>
      <c r="F14" s="20">
        <v>10</v>
      </c>
      <c r="H14" s="14"/>
    </row>
    <row r="15" spans="2:15" ht="18" customHeight="1" x14ac:dyDescent="0.3">
      <c r="B15" s="18">
        <v>42872</v>
      </c>
      <c r="C15" s="19" t="s">
        <v>43</v>
      </c>
      <c r="D15" s="19" t="s">
        <v>48</v>
      </c>
      <c r="E15" s="19" t="s">
        <v>46</v>
      </c>
      <c r="F15" s="20">
        <v>30</v>
      </c>
      <c r="H15" s="14"/>
      <c r="J15" s="26" t="s">
        <v>54</v>
      </c>
      <c r="K15" s="26" t="s">
        <v>60</v>
      </c>
    </row>
    <row r="16" spans="2:15" ht="18" customHeight="1" x14ac:dyDescent="0.3">
      <c r="B16" s="18">
        <v>43238</v>
      </c>
      <c r="C16" s="18" t="s">
        <v>35</v>
      </c>
      <c r="D16" s="12" t="s">
        <v>39</v>
      </c>
      <c r="E16" s="21" t="s">
        <v>37</v>
      </c>
      <c r="F16" s="13">
        <v>1000</v>
      </c>
      <c r="H16" s="14"/>
      <c r="J16" s="26" t="s">
        <v>52</v>
      </c>
      <c r="K16" t="s">
        <v>36</v>
      </c>
      <c r="L16" t="s">
        <v>39</v>
      </c>
      <c r="M16" t="s">
        <v>44</v>
      </c>
      <c r="N16" t="s">
        <v>48</v>
      </c>
      <c r="O16" t="s">
        <v>53</v>
      </c>
    </row>
    <row r="17" spans="2:15" x14ac:dyDescent="0.3">
      <c r="B17" s="18">
        <v>43267</v>
      </c>
      <c r="C17" s="18" t="s">
        <v>38</v>
      </c>
      <c r="D17" s="12" t="s">
        <v>44</v>
      </c>
      <c r="E17" s="21" t="s">
        <v>51</v>
      </c>
      <c r="F17" s="22">
        <v>15</v>
      </c>
      <c r="H17" s="14"/>
      <c r="J17" s="24" t="s">
        <v>56</v>
      </c>
      <c r="K17">
        <v>1130</v>
      </c>
      <c r="L17">
        <v>3700</v>
      </c>
      <c r="M17">
        <v>4310</v>
      </c>
      <c r="N17">
        <v>4030</v>
      </c>
      <c r="O17">
        <v>13170</v>
      </c>
    </row>
    <row r="18" spans="2:15" x14ac:dyDescent="0.3">
      <c r="B18" s="18">
        <v>43268</v>
      </c>
      <c r="C18" s="18" t="s">
        <v>41</v>
      </c>
      <c r="D18" s="12" t="s">
        <v>36</v>
      </c>
      <c r="E18" s="19" t="s">
        <v>49</v>
      </c>
      <c r="F18" s="20">
        <v>4000</v>
      </c>
      <c r="H18" s="14"/>
      <c r="J18" s="24" t="s">
        <v>57</v>
      </c>
      <c r="K18">
        <v>8215</v>
      </c>
      <c r="L18">
        <v>1100</v>
      </c>
      <c r="M18">
        <v>230</v>
      </c>
      <c r="N18">
        <v>115</v>
      </c>
      <c r="O18">
        <v>9660</v>
      </c>
    </row>
    <row r="19" spans="2:15" x14ac:dyDescent="0.3">
      <c r="B19" s="18">
        <v>43271</v>
      </c>
      <c r="C19" s="18" t="s">
        <v>43</v>
      </c>
      <c r="D19" s="12" t="s">
        <v>44</v>
      </c>
      <c r="E19" s="21" t="s">
        <v>51</v>
      </c>
      <c r="F19" s="22">
        <v>15</v>
      </c>
      <c r="H19" s="14"/>
      <c r="J19" s="24" t="s">
        <v>58</v>
      </c>
      <c r="K19">
        <v>1000</v>
      </c>
      <c r="L19">
        <v>15</v>
      </c>
      <c r="N19">
        <v>3500</v>
      </c>
      <c r="O19">
        <v>4515</v>
      </c>
    </row>
    <row r="20" spans="2:15" x14ac:dyDescent="0.3">
      <c r="B20" s="18">
        <v>43270</v>
      </c>
      <c r="C20" s="18" t="s">
        <v>35</v>
      </c>
      <c r="D20" s="12" t="s">
        <v>36</v>
      </c>
      <c r="E20" s="12" t="s">
        <v>40</v>
      </c>
      <c r="F20" s="13">
        <v>100</v>
      </c>
      <c r="H20" s="14"/>
      <c r="J20" s="24" t="s">
        <v>53</v>
      </c>
      <c r="K20">
        <v>10345</v>
      </c>
      <c r="L20">
        <v>4815</v>
      </c>
      <c r="M20">
        <v>4540</v>
      </c>
      <c r="N20">
        <v>7645</v>
      </c>
      <c r="O20">
        <v>27345</v>
      </c>
    </row>
    <row r="21" spans="2:15" x14ac:dyDescent="0.3">
      <c r="B21" s="18">
        <v>43286</v>
      </c>
      <c r="C21" s="18" t="s">
        <v>38</v>
      </c>
      <c r="D21" s="19" t="s">
        <v>48</v>
      </c>
      <c r="E21" s="12" t="s">
        <v>45</v>
      </c>
      <c r="F21" s="13">
        <v>100</v>
      </c>
      <c r="H21" s="14"/>
    </row>
    <row r="22" spans="2:15" x14ac:dyDescent="0.3">
      <c r="B22" s="18">
        <v>43287</v>
      </c>
      <c r="C22" s="18" t="s">
        <v>41</v>
      </c>
      <c r="D22" s="12" t="s">
        <v>36</v>
      </c>
      <c r="E22" s="21" t="s">
        <v>37</v>
      </c>
      <c r="F22" s="22">
        <v>15</v>
      </c>
      <c r="H22" s="14"/>
    </row>
    <row r="23" spans="2:15" x14ac:dyDescent="0.3">
      <c r="B23" s="18">
        <v>43289</v>
      </c>
      <c r="C23" s="18" t="s">
        <v>43</v>
      </c>
      <c r="D23" s="12" t="s">
        <v>44</v>
      </c>
      <c r="E23" s="12" t="s">
        <v>45</v>
      </c>
      <c r="F23" s="13">
        <v>100</v>
      </c>
      <c r="H23" s="14"/>
    </row>
    <row r="24" spans="2:15" x14ac:dyDescent="0.3">
      <c r="B24" s="18">
        <v>43316</v>
      </c>
      <c r="C24" s="18" t="s">
        <v>35</v>
      </c>
      <c r="D24" s="19" t="s">
        <v>48</v>
      </c>
      <c r="E24" s="21" t="s">
        <v>51</v>
      </c>
      <c r="F24" s="22">
        <v>15</v>
      </c>
      <c r="H24" s="14"/>
    </row>
    <row r="25" spans="2:15" x14ac:dyDescent="0.3">
      <c r="B25" s="18">
        <v>43318</v>
      </c>
      <c r="C25" s="18" t="s">
        <v>38</v>
      </c>
      <c r="D25" s="12" t="s">
        <v>44</v>
      </c>
      <c r="E25" s="12" t="s">
        <v>45</v>
      </c>
      <c r="F25" s="13">
        <v>100</v>
      </c>
      <c r="H25" s="14"/>
    </row>
    <row r="26" spans="2:15" x14ac:dyDescent="0.3">
      <c r="B26" s="18">
        <v>43319</v>
      </c>
      <c r="C26" s="18" t="s">
        <v>41</v>
      </c>
      <c r="D26" s="12" t="s">
        <v>36</v>
      </c>
      <c r="E26" s="19" t="s">
        <v>49</v>
      </c>
      <c r="F26" s="20">
        <v>4000</v>
      </c>
      <c r="H26" s="14"/>
    </row>
    <row r="27" spans="2:15" x14ac:dyDescent="0.3">
      <c r="B27" s="18">
        <v>43344</v>
      </c>
      <c r="C27" s="18" t="s">
        <v>43</v>
      </c>
      <c r="D27" s="12" t="s">
        <v>36</v>
      </c>
      <c r="E27" s="12" t="s">
        <v>45</v>
      </c>
      <c r="F27" s="13">
        <v>100</v>
      </c>
      <c r="H27" s="14"/>
    </row>
    <row r="28" spans="2:15" x14ac:dyDescent="0.3">
      <c r="B28" s="18">
        <v>43347</v>
      </c>
      <c r="C28" s="18" t="s">
        <v>35</v>
      </c>
      <c r="D28" s="12" t="s">
        <v>39</v>
      </c>
      <c r="E28" s="12" t="s">
        <v>40</v>
      </c>
      <c r="F28" s="13">
        <v>100</v>
      </c>
      <c r="H28" s="14"/>
    </row>
    <row r="29" spans="2:15" x14ac:dyDescent="0.3">
      <c r="B29" s="18">
        <v>43713</v>
      </c>
      <c r="C29" s="18" t="s">
        <v>38</v>
      </c>
      <c r="D29" s="12" t="s">
        <v>36</v>
      </c>
      <c r="E29" s="21" t="s">
        <v>37</v>
      </c>
      <c r="F29" s="13">
        <v>1000</v>
      </c>
      <c r="H29" s="14"/>
    </row>
    <row r="30" spans="2:15" x14ac:dyDescent="0.3">
      <c r="B30" s="18">
        <v>43716</v>
      </c>
      <c r="C30" s="18" t="s">
        <v>41</v>
      </c>
      <c r="D30" s="23" t="s">
        <v>48</v>
      </c>
      <c r="E30" s="12" t="s">
        <v>42</v>
      </c>
      <c r="F30" s="13">
        <v>3500</v>
      </c>
      <c r="H30" s="14"/>
    </row>
    <row r="31" spans="2:15" x14ac:dyDescent="0.3">
      <c r="B31" s="18">
        <v>43728</v>
      </c>
      <c r="C31" s="18" t="s">
        <v>43</v>
      </c>
      <c r="D31" s="12" t="s">
        <v>39</v>
      </c>
      <c r="E31" s="21" t="s">
        <v>51</v>
      </c>
      <c r="F31" s="22">
        <v>15</v>
      </c>
      <c r="H31" s="14"/>
    </row>
    <row r="32" spans="2:15" x14ac:dyDescent="0.3">
      <c r="H32" s="14"/>
    </row>
    <row r="33" spans="8:8" x14ac:dyDescent="0.3">
      <c r="H33" s="14"/>
    </row>
    <row r="34" spans="8:8" x14ac:dyDescent="0.3">
      <c r="H34" s="14"/>
    </row>
    <row r="35" spans="8:8" x14ac:dyDescent="0.3">
      <c r="H35" s="14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K40"/>
  <sheetViews>
    <sheetView tabSelected="1" topLeftCell="A4" zoomScaleNormal="100" workbookViewId="0">
      <selection activeCell="K17" sqref="K17"/>
    </sheetView>
  </sheetViews>
  <sheetFormatPr baseColWidth="10" defaultRowHeight="14.4" x14ac:dyDescent="0.3"/>
  <cols>
    <col min="1" max="1" width="1.5546875" customWidth="1"/>
    <col min="2" max="6" width="12.88671875" customWidth="1"/>
    <col min="8" max="8" width="18" bestFit="1" customWidth="1"/>
    <col min="9" max="9" width="23" bestFit="1" customWidth="1"/>
    <col min="10" max="10" width="17.109375" bestFit="1" customWidth="1"/>
    <col min="11" max="11" width="15.21875" bestFit="1" customWidth="1"/>
    <col min="12" max="25" width="9.77734375" bestFit="1" customWidth="1"/>
    <col min="26" max="35" width="8.77734375" bestFit="1" customWidth="1"/>
    <col min="36" max="36" width="9.77734375" bestFit="1" customWidth="1"/>
    <col min="37" max="37" width="12.21875" bestFit="1" customWidth="1"/>
  </cols>
  <sheetData>
    <row r="2" spans="2:11" ht="37.5" customHeight="1" x14ac:dyDescent="0.3">
      <c r="B2" s="9" t="s">
        <v>4</v>
      </c>
      <c r="C2" s="9" t="s">
        <v>32</v>
      </c>
      <c r="D2" s="9" t="s">
        <v>33</v>
      </c>
      <c r="E2" s="9" t="s">
        <v>0</v>
      </c>
      <c r="F2" s="9" t="s">
        <v>34</v>
      </c>
      <c r="G2" s="10"/>
    </row>
    <row r="3" spans="2:11" ht="18" customHeight="1" x14ac:dyDescent="0.3">
      <c r="B3" s="11">
        <v>42811</v>
      </c>
      <c r="C3" s="12" t="s">
        <v>35</v>
      </c>
      <c r="D3" s="12" t="s">
        <v>36</v>
      </c>
      <c r="E3" s="12" t="s">
        <v>37</v>
      </c>
      <c r="F3" s="13">
        <v>1000</v>
      </c>
    </row>
    <row r="4" spans="2:11" ht="18" customHeight="1" x14ac:dyDescent="0.3">
      <c r="B4" s="11">
        <v>42814</v>
      </c>
      <c r="C4" s="12" t="s">
        <v>38</v>
      </c>
      <c r="D4" s="12" t="s">
        <v>39</v>
      </c>
      <c r="E4" s="12" t="s">
        <v>40</v>
      </c>
      <c r="F4" s="13">
        <v>200</v>
      </c>
    </row>
    <row r="5" spans="2:11" ht="18" customHeight="1" x14ac:dyDescent="0.3">
      <c r="B5" s="11">
        <v>42816</v>
      </c>
      <c r="C5" s="12" t="s">
        <v>41</v>
      </c>
      <c r="D5" s="12" t="s">
        <v>39</v>
      </c>
      <c r="E5" s="12" t="s">
        <v>42</v>
      </c>
      <c r="F5" s="13">
        <v>3500</v>
      </c>
    </row>
    <row r="6" spans="2:11" ht="18" customHeight="1" x14ac:dyDescent="0.3">
      <c r="B6" s="11">
        <v>42845</v>
      </c>
      <c r="C6" s="12" t="s">
        <v>43</v>
      </c>
      <c r="D6" s="12" t="s">
        <v>44</v>
      </c>
      <c r="E6" s="12" t="s">
        <v>40</v>
      </c>
      <c r="F6" s="13">
        <v>100</v>
      </c>
    </row>
    <row r="7" spans="2:11" x14ac:dyDescent="0.3">
      <c r="B7" s="11">
        <v>42842</v>
      </c>
      <c r="C7" s="12" t="s">
        <v>35</v>
      </c>
      <c r="D7" s="12" t="s">
        <v>36</v>
      </c>
      <c r="E7" s="12" t="s">
        <v>45</v>
      </c>
      <c r="F7" s="13">
        <v>100</v>
      </c>
    </row>
    <row r="8" spans="2:11" ht="18" customHeight="1" x14ac:dyDescent="0.3">
      <c r="B8" s="11">
        <v>42877</v>
      </c>
      <c r="C8" s="12" t="s">
        <v>38</v>
      </c>
      <c r="D8" s="12" t="s">
        <v>44</v>
      </c>
      <c r="E8" s="12" t="s">
        <v>46</v>
      </c>
      <c r="F8" s="13">
        <v>20</v>
      </c>
    </row>
    <row r="9" spans="2:11" ht="18" customHeight="1" x14ac:dyDescent="0.3">
      <c r="B9" s="11">
        <v>42877</v>
      </c>
      <c r="C9" s="12" t="s">
        <v>41</v>
      </c>
      <c r="D9" s="12" t="s">
        <v>44</v>
      </c>
      <c r="E9" s="12" t="s">
        <v>47</v>
      </c>
      <c r="F9" s="13">
        <v>10</v>
      </c>
    </row>
    <row r="10" spans="2:11" ht="18" customHeight="1" x14ac:dyDescent="0.3">
      <c r="B10" s="15">
        <v>42879</v>
      </c>
      <c r="C10" s="16" t="s">
        <v>43</v>
      </c>
      <c r="D10" s="12" t="s">
        <v>36</v>
      </c>
      <c r="E10" s="16" t="s">
        <v>46</v>
      </c>
      <c r="F10" s="17">
        <v>20</v>
      </c>
    </row>
    <row r="11" spans="2:11" ht="18" customHeight="1" x14ac:dyDescent="0.3">
      <c r="B11" s="18">
        <v>42872</v>
      </c>
      <c r="C11" s="19" t="s">
        <v>43</v>
      </c>
      <c r="D11" s="19" t="s">
        <v>48</v>
      </c>
      <c r="E11" s="19" t="s">
        <v>49</v>
      </c>
      <c r="F11" s="20">
        <v>4000</v>
      </c>
    </row>
    <row r="12" spans="2:11" ht="18" customHeight="1" x14ac:dyDescent="0.3">
      <c r="B12" s="18">
        <v>42875</v>
      </c>
      <c r="C12" s="19" t="s">
        <v>35</v>
      </c>
      <c r="D12" s="12" t="s">
        <v>44</v>
      </c>
      <c r="E12" s="19" t="s">
        <v>49</v>
      </c>
      <c r="F12" s="20">
        <v>4000</v>
      </c>
      <c r="H12" s="24"/>
    </row>
    <row r="13" spans="2:11" ht="18" customHeight="1" x14ac:dyDescent="0.3">
      <c r="B13" s="18">
        <v>42882</v>
      </c>
      <c r="C13" s="19" t="s">
        <v>38</v>
      </c>
      <c r="D13" s="12" t="s">
        <v>44</v>
      </c>
      <c r="E13" s="19" t="s">
        <v>50</v>
      </c>
      <c r="F13" s="20">
        <v>180</v>
      </c>
      <c r="H13" s="24"/>
      <c r="J13" s="26" t="s">
        <v>33</v>
      </c>
      <c r="K13" t="s">
        <v>59</v>
      </c>
    </row>
    <row r="14" spans="2:11" ht="18" customHeight="1" x14ac:dyDescent="0.3">
      <c r="B14" s="18">
        <v>42875</v>
      </c>
      <c r="C14" s="19" t="s">
        <v>41</v>
      </c>
      <c r="D14" s="12" t="s">
        <v>36</v>
      </c>
      <c r="E14" s="19" t="s">
        <v>47</v>
      </c>
      <c r="F14" s="20">
        <v>10</v>
      </c>
      <c r="H14" s="24"/>
    </row>
    <row r="15" spans="2:11" ht="18" customHeight="1" x14ac:dyDescent="0.3">
      <c r="B15" s="18">
        <v>42872</v>
      </c>
      <c r="C15" s="19" t="s">
        <v>43</v>
      </c>
      <c r="D15" s="19" t="s">
        <v>48</v>
      </c>
      <c r="E15" s="19" t="s">
        <v>46</v>
      </c>
      <c r="F15" s="20">
        <v>30</v>
      </c>
      <c r="H15" s="24"/>
      <c r="J15" s="26" t="s">
        <v>52</v>
      </c>
      <c r="K15" t="s">
        <v>69</v>
      </c>
    </row>
    <row r="16" spans="2:11" ht="18" customHeight="1" x14ac:dyDescent="0.3">
      <c r="B16" s="18">
        <v>43238</v>
      </c>
      <c r="C16" s="18" t="s">
        <v>35</v>
      </c>
      <c r="D16" s="12" t="s">
        <v>39</v>
      </c>
      <c r="E16" s="21" t="s">
        <v>37</v>
      </c>
      <c r="F16" s="13">
        <v>1000</v>
      </c>
      <c r="H16" s="24"/>
      <c r="J16" s="24" t="s">
        <v>35</v>
      </c>
      <c r="K16">
        <v>4000</v>
      </c>
    </row>
    <row r="17" spans="2:11" x14ac:dyDescent="0.3">
      <c r="B17" s="18">
        <v>43267</v>
      </c>
      <c r="C17" s="18" t="s">
        <v>38</v>
      </c>
      <c r="D17" s="12" t="s">
        <v>44</v>
      </c>
      <c r="E17" s="21" t="s">
        <v>51</v>
      </c>
      <c r="F17" s="22">
        <v>15</v>
      </c>
      <c r="J17" s="27" t="s">
        <v>56</v>
      </c>
      <c r="K17">
        <v>4000</v>
      </c>
    </row>
    <row r="18" spans="2:11" x14ac:dyDescent="0.3">
      <c r="B18" s="18">
        <v>43268</v>
      </c>
      <c r="C18" s="18" t="s">
        <v>41</v>
      </c>
      <c r="D18" s="12" t="s">
        <v>36</v>
      </c>
      <c r="E18" s="19" t="s">
        <v>49</v>
      </c>
      <c r="F18" s="20">
        <v>4000</v>
      </c>
      <c r="J18" s="28" t="s">
        <v>61</v>
      </c>
      <c r="K18">
        <v>1000</v>
      </c>
    </row>
    <row r="19" spans="2:11" x14ac:dyDescent="0.3">
      <c r="B19" s="18">
        <v>43271</v>
      </c>
      <c r="C19" s="18" t="s">
        <v>43</v>
      </c>
      <c r="D19" s="12" t="s">
        <v>44</v>
      </c>
      <c r="E19" s="21" t="s">
        <v>51</v>
      </c>
      <c r="F19" s="22">
        <v>15</v>
      </c>
      <c r="J19" s="28" t="s">
        <v>62</v>
      </c>
      <c r="K19">
        <v>100</v>
      </c>
    </row>
    <row r="20" spans="2:11" x14ac:dyDescent="0.3">
      <c r="B20" s="18">
        <v>43270</v>
      </c>
      <c r="C20" s="18" t="s">
        <v>35</v>
      </c>
      <c r="D20" s="12" t="s">
        <v>36</v>
      </c>
      <c r="E20" s="12" t="s">
        <v>40</v>
      </c>
      <c r="F20" s="13">
        <v>100</v>
      </c>
      <c r="J20" s="28" t="s">
        <v>63</v>
      </c>
      <c r="K20">
        <v>4000</v>
      </c>
    </row>
    <row r="21" spans="2:11" x14ac:dyDescent="0.3">
      <c r="B21" s="18">
        <v>43286</v>
      </c>
      <c r="C21" s="18" t="s">
        <v>38</v>
      </c>
      <c r="D21" s="19" t="s">
        <v>48</v>
      </c>
      <c r="E21" s="12" t="s">
        <v>45</v>
      </c>
      <c r="F21" s="13">
        <v>100</v>
      </c>
      <c r="J21" s="27" t="s">
        <v>57</v>
      </c>
      <c r="K21">
        <v>1000</v>
      </c>
    </row>
    <row r="22" spans="2:11" x14ac:dyDescent="0.3">
      <c r="B22" s="18">
        <v>43287</v>
      </c>
      <c r="C22" s="18" t="s">
        <v>41</v>
      </c>
      <c r="D22" s="12" t="s">
        <v>36</v>
      </c>
      <c r="E22" s="21" t="s">
        <v>37</v>
      </c>
      <c r="F22" s="22">
        <v>15</v>
      </c>
      <c r="J22" s="24" t="s">
        <v>43</v>
      </c>
      <c r="K22">
        <v>4000</v>
      </c>
    </row>
    <row r="23" spans="2:11" x14ac:dyDescent="0.3">
      <c r="B23" s="18">
        <v>43289</v>
      </c>
      <c r="C23" s="18" t="s">
        <v>43</v>
      </c>
      <c r="D23" s="12" t="s">
        <v>44</v>
      </c>
      <c r="E23" s="12" t="s">
        <v>45</v>
      </c>
      <c r="F23" s="13">
        <v>100</v>
      </c>
      <c r="J23" s="27" t="s">
        <v>56</v>
      </c>
      <c r="K23">
        <v>4000</v>
      </c>
    </row>
    <row r="24" spans="2:11" x14ac:dyDescent="0.3">
      <c r="B24" s="18">
        <v>43316</v>
      </c>
      <c r="C24" s="18" t="s">
        <v>35</v>
      </c>
      <c r="D24" s="19" t="s">
        <v>48</v>
      </c>
      <c r="E24" s="21" t="s">
        <v>51</v>
      </c>
      <c r="F24" s="22">
        <v>15</v>
      </c>
      <c r="J24" s="28" t="s">
        <v>62</v>
      </c>
      <c r="K24">
        <v>100</v>
      </c>
    </row>
    <row r="25" spans="2:11" x14ac:dyDescent="0.3">
      <c r="B25" s="18">
        <v>43318</v>
      </c>
      <c r="C25" s="18" t="s">
        <v>38</v>
      </c>
      <c r="D25" s="12" t="s">
        <v>44</v>
      </c>
      <c r="E25" s="12" t="s">
        <v>45</v>
      </c>
      <c r="F25" s="13">
        <v>100</v>
      </c>
      <c r="J25" s="28" t="s">
        <v>63</v>
      </c>
      <c r="K25">
        <v>4000</v>
      </c>
    </row>
    <row r="26" spans="2:11" x14ac:dyDescent="0.3">
      <c r="B26" s="18">
        <v>43319</v>
      </c>
      <c r="C26" s="18" t="s">
        <v>41</v>
      </c>
      <c r="D26" s="12" t="s">
        <v>36</v>
      </c>
      <c r="E26" s="19" t="s">
        <v>49</v>
      </c>
      <c r="F26" s="20">
        <v>4000</v>
      </c>
      <c r="J26" s="27" t="s">
        <v>57</v>
      </c>
      <c r="K26">
        <v>100</v>
      </c>
    </row>
    <row r="27" spans="2:11" x14ac:dyDescent="0.3">
      <c r="B27" s="18">
        <v>43344</v>
      </c>
      <c r="C27" s="18" t="s">
        <v>43</v>
      </c>
      <c r="D27" s="12" t="s">
        <v>36</v>
      </c>
      <c r="E27" s="12" t="s">
        <v>45</v>
      </c>
      <c r="F27" s="13">
        <v>100</v>
      </c>
      <c r="J27" s="27" t="s">
        <v>58</v>
      </c>
      <c r="K27">
        <v>15</v>
      </c>
    </row>
    <row r="28" spans="2:11" x14ac:dyDescent="0.3">
      <c r="B28" s="18">
        <v>43347</v>
      </c>
      <c r="C28" s="18" t="s">
        <v>35</v>
      </c>
      <c r="D28" s="12" t="s">
        <v>39</v>
      </c>
      <c r="E28" s="12" t="s">
        <v>40</v>
      </c>
      <c r="F28" s="13">
        <v>100</v>
      </c>
      <c r="J28" s="24" t="s">
        <v>38</v>
      </c>
      <c r="K28">
        <v>1000</v>
      </c>
    </row>
    <row r="29" spans="2:11" x14ac:dyDescent="0.3">
      <c r="B29" s="18">
        <v>43713</v>
      </c>
      <c r="C29" s="18" t="s">
        <v>38</v>
      </c>
      <c r="D29" s="12" t="s">
        <v>36</v>
      </c>
      <c r="E29" s="21" t="s">
        <v>37</v>
      </c>
      <c r="F29" s="13">
        <v>1000</v>
      </c>
      <c r="J29" s="27" t="s">
        <v>56</v>
      </c>
      <c r="K29">
        <v>200</v>
      </c>
    </row>
    <row r="30" spans="2:11" x14ac:dyDescent="0.3">
      <c r="B30" s="18">
        <v>43716</v>
      </c>
      <c r="C30" s="18" t="s">
        <v>41</v>
      </c>
      <c r="D30" s="23" t="s">
        <v>48</v>
      </c>
      <c r="E30" s="12" t="s">
        <v>42</v>
      </c>
      <c r="F30" s="13">
        <v>3500</v>
      </c>
      <c r="J30" s="28" t="s">
        <v>61</v>
      </c>
      <c r="K30">
        <v>200</v>
      </c>
    </row>
    <row r="31" spans="2:11" x14ac:dyDescent="0.3">
      <c r="B31" s="18">
        <v>43728</v>
      </c>
      <c r="C31" s="18" t="s">
        <v>43</v>
      </c>
      <c r="D31" s="12" t="s">
        <v>39</v>
      </c>
      <c r="E31" s="21" t="s">
        <v>51</v>
      </c>
      <c r="F31" s="22">
        <v>15</v>
      </c>
      <c r="J31" s="28" t="s">
        <v>63</v>
      </c>
      <c r="K31">
        <v>180</v>
      </c>
    </row>
    <row r="32" spans="2:11" x14ac:dyDescent="0.3">
      <c r="J32" s="27" t="s">
        <v>57</v>
      </c>
      <c r="K32">
        <v>100</v>
      </c>
    </row>
    <row r="33" spans="10:11" x14ac:dyDescent="0.3">
      <c r="J33" s="27" t="s">
        <v>58</v>
      </c>
      <c r="K33">
        <v>1000</v>
      </c>
    </row>
    <row r="34" spans="10:11" x14ac:dyDescent="0.3">
      <c r="J34" s="24" t="s">
        <v>41</v>
      </c>
      <c r="K34">
        <v>4000</v>
      </c>
    </row>
    <row r="35" spans="10:11" x14ac:dyDescent="0.3">
      <c r="J35" s="27" t="s">
        <v>56</v>
      </c>
      <c r="K35">
        <v>3500</v>
      </c>
    </row>
    <row r="36" spans="10:11" x14ac:dyDescent="0.3">
      <c r="J36" s="28" t="s">
        <v>61</v>
      </c>
      <c r="K36">
        <v>3500</v>
      </c>
    </row>
    <row r="37" spans="10:11" x14ac:dyDescent="0.3">
      <c r="J37" s="28" t="s">
        <v>63</v>
      </c>
      <c r="K37">
        <v>10</v>
      </c>
    </row>
    <row r="38" spans="10:11" x14ac:dyDescent="0.3">
      <c r="J38" s="27" t="s">
        <v>57</v>
      </c>
      <c r="K38">
        <v>4000</v>
      </c>
    </row>
    <row r="39" spans="10:11" x14ac:dyDescent="0.3">
      <c r="J39" s="27" t="s">
        <v>58</v>
      </c>
      <c r="K39">
        <v>3500</v>
      </c>
    </row>
    <row r="40" spans="10:11" x14ac:dyDescent="0.3">
      <c r="J40" s="24" t="s">
        <v>53</v>
      </c>
      <c r="K40">
        <v>4000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M32"/>
  <sheetViews>
    <sheetView zoomScale="85" zoomScaleNormal="85" workbookViewId="0">
      <selection activeCell="I22" sqref="I22"/>
    </sheetView>
  </sheetViews>
  <sheetFormatPr baseColWidth="10" defaultRowHeight="14.4" x14ac:dyDescent="0.3"/>
  <cols>
    <col min="1" max="1" width="15.44140625" customWidth="1"/>
    <col min="2" max="2" width="18.6640625" customWidth="1"/>
    <col min="3" max="4" width="29" customWidth="1"/>
    <col min="5" max="5" width="21" customWidth="1"/>
    <col min="6" max="6" width="27.88671875" customWidth="1"/>
    <col min="8" max="8" width="17.6640625" bestFit="1" customWidth="1"/>
    <col min="9" max="9" width="16.77734375" bestFit="1" customWidth="1"/>
    <col min="10" max="10" width="19.109375" bestFit="1" customWidth="1"/>
    <col min="11" max="11" width="18.88671875" bestFit="1" customWidth="1"/>
    <col min="12" max="12" width="15.6640625" bestFit="1" customWidth="1"/>
    <col min="13" max="13" width="23.6640625" bestFit="1" customWidth="1"/>
    <col min="14" max="14" width="20.6640625" bestFit="1" customWidth="1"/>
    <col min="15" max="15" width="18.88671875" bestFit="1" customWidth="1"/>
    <col min="16" max="16" width="15.6640625" bestFit="1" customWidth="1"/>
    <col min="17" max="17" width="23.6640625" bestFit="1" customWidth="1"/>
    <col min="18" max="18" width="20.6640625" bestFit="1" customWidth="1"/>
    <col min="19" max="19" width="9.109375" bestFit="1" customWidth="1"/>
    <col min="20" max="20" width="19.6640625" bestFit="1" customWidth="1"/>
    <col min="21" max="21" width="12.6640625" bestFit="1" customWidth="1"/>
    <col min="22" max="22" width="10" bestFit="1" customWidth="1"/>
    <col min="23" max="24" width="10.5546875" bestFit="1" customWidth="1"/>
    <col min="25" max="25" width="7.88671875" bestFit="1" customWidth="1"/>
    <col min="26" max="26" width="9.109375" bestFit="1" customWidth="1"/>
    <col min="27" max="27" width="15.6640625" bestFit="1" customWidth="1"/>
    <col min="28" max="28" width="15.5546875" bestFit="1" customWidth="1"/>
    <col min="29" max="30" width="10" bestFit="1" customWidth="1"/>
    <col min="31" max="31" width="7.44140625" bestFit="1" customWidth="1"/>
    <col min="32" max="32" width="18.6640625" bestFit="1" customWidth="1"/>
    <col min="33" max="33" width="12.5546875" bestFit="1" customWidth="1"/>
  </cols>
  <sheetData>
    <row r="2" spans="2:13" ht="37.5" customHeight="1" x14ac:dyDescent="0.3">
      <c r="B2" s="9" t="s">
        <v>4</v>
      </c>
      <c r="C2" s="9" t="s">
        <v>32</v>
      </c>
      <c r="D2" s="9" t="s">
        <v>33</v>
      </c>
      <c r="E2" s="9" t="s">
        <v>0</v>
      </c>
      <c r="F2" s="9" t="s">
        <v>34</v>
      </c>
      <c r="G2" s="10"/>
    </row>
    <row r="3" spans="2:13" ht="18" customHeight="1" x14ac:dyDescent="0.3">
      <c r="B3" s="11">
        <v>42811</v>
      </c>
      <c r="C3" s="12" t="s">
        <v>35</v>
      </c>
      <c r="D3" s="12" t="s">
        <v>36</v>
      </c>
      <c r="E3" s="12" t="s">
        <v>37</v>
      </c>
      <c r="F3" s="13">
        <v>1000</v>
      </c>
    </row>
    <row r="4" spans="2:13" ht="18" customHeight="1" x14ac:dyDescent="0.3">
      <c r="B4" s="11">
        <v>42814</v>
      </c>
      <c r="C4" s="12" t="s">
        <v>38</v>
      </c>
      <c r="D4" s="12" t="s">
        <v>39</v>
      </c>
      <c r="E4" s="12" t="s">
        <v>40</v>
      </c>
      <c r="F4" s="13">
        <v>200</v>
      </c>
    </row>
    <row r="5" spans="2:13" ht="18" customHeight="1" x14ac:dyDescent="0.3">
      <c r="B5" s="11">
        <v>42816</v>
      </c>
      <c r="C5" s="12" t="s">
        <v>41</v>
      </c>
      <c r="D5" s="12" t="s">
        <v>39</v>
      </c>
      <c r="E5" s="12" t="s">
        <v>42</v>
      </c>
      <c r="F5" s="13">
        <v>3500</v>
      </c>
    </row>
    <row r="6" spans="2:13" ht="18" customHeight="1" x14ac:dyDescent="0.3">
      <c r="B6" s="11">
        <v>42845</v>
      </c>
      <c r="C6" s="12" t="s">
        <v>43</v>
      </c>
      <c r="D6" s="12" t="s">
        <v>44</v>
      </c>
      <c r="E6" s="12" t="s">
        <v>40</v>
      </c>
      <c r="F6" s="13">
        <v>100</v>
      </c>
    </row>
    <row r="7" spans="2:13" x14ac:dyDescent="0.3">
      <c r="B7" s="11">
        <v>42842</v>
      </c>
      <c r="C7" s="12" t="s">
        <v>35</v>
      </c>
      <c r="D7" s="12" t="s">
        <v>36</v>
      </c>
      <c r="E7" s="12" t="s">
        <v>45</v>
      </c>
      <c r="F7" s="13">
        <v>100</v>
      </c>
    </row>
    <row r="8" spans="2:13" ht="18" customHeight="1" x14ac:dyDescent="0.3">
      <c r="B8" s="11">
        <v>42877</v>
      </c>
      <c r="C8" s="12" t="s">
        <v>38</v>
      </c>
      <c r="D8" s="12" t="s">
        <v>44</v>
      </c>
      <c r="E8" s="12" t="s">
        <v>46</v>
      </c>
      <c r="F8" s="13">
        <v>20</v>
      </c>
    </row>
    <row r="9" spans="2:13" ht="18" customHeight="1" x14ac:dyDescent="0.3">
      <c r="B9" s="11">
        <v>42877</v>
      </c>
      <c r="C9" s="12" t="s">
        <v>41</v>
      </c>
      <c r="D9" s="12" t="s">
        <v>44</v>
      </c>
      <c r="E9" s="12" t="s">
        <v>47</v>
      </c>
      <c r="F9" s="13">
        <v>10</v>
      </c>
    </row>
    <row r="10" spans="2:13" ht="18" customHeight="1" x14ac:dyDescent="0.3">
      <c r="B10" s="15">
        <v>42879</v>
      </c>
      <c r="C10" s="16" t="s">
        <v>43</v>
      </c>
      <c r="D10" s="12" t="s">
        <v>36</v>
      </c>
      <c r="E10" s="16" t="s">
        <v>46</v>
      </c>
      <c r="F10" s="17">
        <v>20</v>
      </c>
    </row>
    <row r="11" spans="2:13" ht="18" customHeight="1" x14ac:dyDescent="0.3">
      <c r="B11" s="18">
        <v>42872</v>
      </c>
      <c r="C11" s="19" t="s">
        <v>43</v>
      </c>
      <c r="D11" s="19" t="s">
        <v>48</v>
      </c>
      <c r="E11" s="19" t="s">
        <v>49</v>
      </c>
      <c r="F11" s="20">
        <v>4000</v>
      </c>
      <c r="H11" s="24"/>
      <c r="I11" s="26" t="s">
        <v>52</v>
      </c>
      <c r="J11" t="s">
        <v>55</v>
      </c>
      <c r="M11" s="25"/>
    </row>
    <row r="12" spans="2:13" ht="18" customHeight="1" x14ac:dyDescent="0.3">
      <c r="B12" s="18">
        <v>42875</v>
      </c>
      <c r="C12" s="19" t="s">
        <v>35</v>
      </c>
      <c r="D12" s="12" t="s">
        <v>44</v>
      </c>
      <c r="E12" s="19" t="s">
        <v>49</v>
      </c>
      <c r="F12" s="20">
        <v>4000</v>
      </c>
      <c r="H12" s="24"/>
      <c r="I12" s="24" t="s">
        <v>35</v>
      </c>
      <c r="J12">
        <v>902.14285714285711</v>
      </c>
      <c r="M12" s="25"/>
    </row>
    <row r="13" spans="2:13" ht="18" customHeight="1" x14ac:dyDescent="0.3">
      <c r="B13" s="18">
        <v>42882</v>
      </c>
      <c r="C13" s="19" t="s">
        <v>38</v>
      </c>
      <c r="D13" s="12" t="s">
        <v>44</v>
      </c>
      <c r="E13" s="19" t="s">
        <v>50</v>
      </c>
      <c r="F13" s="20">
        <v>180</v>
      </c>
      <c r="H13" s="24"/>
      <c r="I13" s="27" t="s">
        <v>36</v>
      </c>
      <c r="J13">
        <v>400</v>
      </c>
      <c r="M13" s="25"/>
    </row>
    <row r="14" spans="2:13" ht="18" customHeight="1" x14ac:dyDescent="0.3">
      <c r="B14" s="18">
        <v>42875</v>
      </c>
      <c r="C14" s="19" t="s">
        <v>41</v>
      </c>
      <c r="D14" s="12" t="s">
        <v>36</v>
      </c>
      <c r="E14" s="19" t="s">
        <v>47</v>
      </c>
      <c r="F14" s="20">
        <v>10</v>
      </c>
      <c r="I14" s="27" t="s">
        <v>39</v>
      </c>
      <c r="J14">
        <v>550</v>
      </c>
    </row>
    <row r="15" spans="2:13" ht="18" customHeight="1" x14ac:dyDescent="0.3">
      <c r="B15" s="18">
        <v>42872</v>
      </c>
      <c r="C15" s="19" t="s">
        <v>43</v>
      </c>
      <c r="D15" s="19" t="s">
        <v>48</v>
      </c>
      <c r="E15" s="19" t="s">
        <v>46</v>
      </c>
      <c r="F15" s="20">
        <v>30</v>
      </c>
      <c r="I15" s="27" t="s">
        <v>44</v>
      </c>
      <c r="J15">
        <v>4000</v>
      </c>
    </row>
    <row r="16" spans="2:13" ht="18" customHeight="1" x14ac:dyDescent="0.3">
      <c r="B16" s="18">
        <v>43238</v>
      </c>
      <c r="C16" s="18" t="s">
        <v>35</v>
      </c>
      <c r="D16" s="12" t="s">
        <v>39</v>
      </c>
      <c r="E16" s="21" t="s">
        <v>37</v>
      </c>
      <c r="F16" s="13">
        <v>1000</v>
      </c>
      <c r="I16" s="27" t="s">
        <v>48</v>
      </c>
      <c r="J16">
        <v>15</v>
      </c>
    </row>
    <row r="17" spans="2:10" x14ac:dyDescent="0.3">
      <c r="B17" s="18">
        <v>43267</v>
      </c>
      <c r="C17" s="18" t="s">
        <v>38</v>
      </c>
      <c r="D17" s="12" t="s">
        <v>44</v>
      </c>
      <c r="E17" s="21" t="s">
        <v>51</v>
      </c>
      <c r="F17" s="22">
        <v>15</v>
      </c>
      <c r="I17" s="24" t="s">
        <v>43</v>
      </c>
      <c r="J17">
        <v>547.5</v>
      </c>
    </row>
    <row r="18" spans="2:10" x14ac:dyDescent="0.3">
      <c r="B18" s="18">
        <v>43268</v>
      </c>
      <c r="C18" s="18" t="s">
        <v>41</v>
      </c>
      <c r="D18" s="12" t="s">
        <v>36</v>
      </c>
      <c r="E18" s="19" t="s">
        <v>49</v>
      </c>
      <c r="F18" s="20">
        <v>4000</v>
      </c>
      <c r="I18" s="27" t="s">
        <v>36</v>
      </c>
      <c r="J18">
        <v>60</v>
      </c>
    </row>
    <row r="19" spans="2:10" x14ac:dyDescent="0.3">
      <c r="B19" s="18">
        <v>43271</v>
      </c>
      <c r="C19" s="18" t="s">
        <v>43</v>
      </c>
      <c r="D19" s="12" t="s">
        <v>44</v>
      </c>
      <c r="E19" s="21" t="s">
        <v>51</v>
      </c>
      <c r="F19" s="22">
        <v>15</v>
      </c>
      <c r="I19" s="27" t="s">
        <v>39</v>
      </c>
      <c r="J19">
        <v>15</v>
      </c>
    </row>
    <row r="20" spans="2:10" x14ac:dyDescent="0.3">
      <c r="B20" s="18">
        <v>43270</v>
      </c>
      <c r="C20" s="18" t="s">
        <v>35</v>
      </c>
      <c r="D20" s="12" t="s">
        <v>36</v>
      </c>
      <c r="E20" s="12" t="s">
        <v>40</v>
      </c>
      <c r="F20" s="13">
        <v>100</v>
      </c>
      <c r="I20" s="27" t="s">
        <v>44</v>
      </c>
      <c r="J20">
        <v>71.666666666666671</v>
      </c>
    </row>
    <row r="21" spans="2:10" x14ac:dyDescent="0.3">
      <c r="B21" s="18">
        <v>43286</v>
      </c>
      <c r="C21" s="18" t="s">
        <v>38</v>
      </c>
      <c r="D21" s="19" t="s">
        <v>48</v>
      </c>
      <c r="E21" s="12" t="s">
        <v>45</v>
      </c>
      <c r="F21" s="13">
        <v>100</v>
      </c>
      <c r="I21" s="27" t="s">
        <v>48</v>
      </c>
      <c r="J21">
        <v>2015</v>
      </c>
    </row>
    <row r="22" spans="2:10" x14ac:dyDescent="0.3">
      <c r="B22" s="18">
        <v>43287</v>
      </c>
      <c r="C22" s="18" t="s">
        <v>41</v>
      </c>
      <c r="D22" s="12" t="s">
        <v>36</v>
      </c>
      <c r="E22" s="21" t="s">
        <v>37</v>
      </c>
      <c r="F22" s="22">
        <v>15</v>
      </c>
      <c r="I22" s="24" t="s">
        <v>38</v>
      </c>
      <c r="J22">
        <v>230.71428571428572</v>
      </c>
    </row>
    <row r="23" spans="2:10" x14ac:dyDescent="0.3">
      <c r="B23" s="18">
        <v>43289</v>
      </c>
      <c r="C23" s="18" t="s">
        <v>43</v>
      </c>
      <c r="D23" s="12" t="s">
        <v>44</v>
      </c>
      <c r="E23" s="12" t="s">
        <v>45</v>
      </c>
      <c r="F23" s="13">
        <v>100</v>
      </c>
      <c r="I23" s="27" t="s">
        <v>36</v>
      </c>
      <c r="J23">
        <v>1000</v>
      </c>
    </row>
    <row r="24" spans="2:10" x14ac:dyDescent="0.3">
      <c r="B24" s="18">
        <v>43316</v>
      </c>
      <c r="C24" s="18" t="s">
        <v>35</v>
      </c>
      <c r="D24" s="19" t="s">
        <v>48</v>
      </c>
      <c r="E24" s="21" t="s">
        <v>51</v>
      </c>
      <c r="F24" s="22">
        <v>15</v>
      </c>
      <c r="I24" s="27" t="s">
        <v>39</v>
      </c>
      <c r="J24">
        <v>200</v>
      </c>
    </row>
    <row r="25" spans="2:10" x14ac:dyDescent="0.3">
      <c r="B25" s="18">
        <v>43318</v>
      </c>
      <c r="C25" s="18" t="s">
        <v>38</v>
      </c>
      <c r="D25" s="12" t="s">
        <v>44</v>
      </c>
      <c r="E25" s="12" t="s">
        <v>45</v>
      </c>
      <c r="F25" s="13">
        <v>100</v>
      </c>
      <c r="I25" s="27" t="s">
        <v>44</v>
      </c>
      <c r="J25">
        <v>78.75</v>
      </c>
    </row>
    <row r="26" spans="2:10" x14ac:dyDescent="0.3">
      <c r="B26" s="18">
        <v>43319</v>
      </c>
      <c r="C26" s="18" t="s">
        <v>41</v>
      </c>
      <c r="D26" s="12" t="s">
        <v>36</v>
      </c>
      <c r="E26" s="19" t="s">
        <v>49</v>
      </c>
      <c r="F26" s="20">
        <v>4000</v>
      </c>
      <c r="I26" s="27" t="s">
        <v>48</v>
      </c>
      <c r="J26">
        <v>100</v>
      </c>
    </row>
    <row r="27" spans="2:10" x14ac:dyDescent="0.3">
      <c r="B27" s="18">
        <v>43344</v>
      </c>
      <c r="C27" s="18" t="s">
        <v>43</v>
      </c>
      <c r="D27" s="12" t="s">
        <v>36</v>
      </c>
      <c r="E27" s="12" t="s">
        <v>45</v>
      </c>
      <c r="F27" s="13">
        <v>100</v>
      </c>
      <c r="I27" s="24" t="s">
        <v>41</v>
      </c>
      <c r="J27">
        <v>2147.8571428571427</v>
      </c>
    </row>
    <row r="28" spans="2:10" x14ac:dyDescent="0.3">
      <c r="B28" s="18">
        <v>43347</v>
      </c>
      <c r="C28" s="18" t="s">
        <v>35</v>
      </c>
      <c r="D28" s="12" t="s">
        <v>39</v>
      </c>
      <c r="E28" s="12" t="s">
        <v>40</v>
      </c>
      <c r="F28" s="13">
        <v>100</v>
      </c>
      <c r="I28" s="27" t="s">
        <v>36</v>
      </c>
      <c r="J28">
        <v>2006.25</v>
      </c>
    </row>
    <row r="29" spans="2:10" x14ac:dyDescent="0.3">
      <c r="B29" s="18">
        <v>43713</v>
      </c>
      <c r="C29" s="18" t="s">
        <v>38</v>
      </c>
      <c r="D29" s="12" t="s">
        <v>36</v>
      </c>
      <c r="E29" s="21" t="s">
        <v>37</v>
      </c>
      <c r="F29" s="13">
        <v>1000</v>
      </c>
      <c r="I29" s="27" t="s">
        <v>39</v>
      </c>
      <c r="J29">
        <v>3500</v>
      </c>
    </row>
    <row r="30" spans="2:10" x14ac:dyDescent="0.3">
      <c r="B30" s="18">
        <v>43716</v>
      </c>
      <c r="C30" s="18" t="s">
        <v>41</v>
      </c>
      <c r="D30" s="23" t="s">
        <v>48</v>
      </c>
      <c r="E30" s="12" t="s">
        <v>42</v>
      </c>
      <c r="F30" s="13">
        <v>3500</v>
      </c>
      <c r="I30" s="27" t="s">
        <v>44</v>
      </c>
      <c r="J30">
        <v>10</v>
      </c>
    </row>
    <row r="31" spans="2:10" x14ac:dyDescent="0.3">
      <c r="B31" s="18">
        <v>43728</v>
      </c>
      <c r="C31" s="18" t="s">
        <v>43</v>
      </c>
      <c r="D31" s="12" t="s">
        <v>39</v>
      </c>
      <c r="E31" s="21" t="s">
        <v>51</v>
      </c>
      <c r="F31" s="22">
        <v>15</v>
      </c>
      <c r="I31" s="27" t="s">
        <v>48</v>
      </c>
      <c r="J31">
        <v>3500</v>
      </c>
    </row>
    <row r="32" spans="2:10" x14ac:dyDescent="0.3">
      <c r="I32" s="24" t="s">
        <v>53</v>
      </c>
      <c r="J32">
        <v>942.93103448275861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2:R36"/>
  <sheetViews>
    <sheetView zoomScale="70" zoomScaleNormal="70" workbookViewId="0">
      <selection activeCell="K21" sqref="K21"/>
    </sheetView>
  </sheetViews>
  <sheetFormatPr baseColWidth="10" defaultRowHeight="14.4" x14ac:dyDescent="0.3"/>
  <cols>
    <col min="1" max="1" width="2.5546875" customWidth="1"/>
    <col min="2" max="2" width="18.6640625" customWidth="1"/>
    <col min="3" max="4" width="29" customWidth="1"/>
    <col min="5" max="5" width="21" customWidth="1"/>
    <col min="6" max="6" width="12.6640625" customWidth="1"/>
    <col min="8" max="8" width="24.33203125" bestFit="1" customWidth="1"/>
    <col min="9" max="9" width="30.33203125" bestFit="1" customWidth="1"/>
    <col min="10" max="10" width="22.77734375" bestFit="1" customWidth="1"/>
    <col min="11" max="11" width="20.109375" bestFit="1" customWidth="1"/>
    <col min="12" max="12" width="17.33203125" bestFit="1" customWidth="1"/>
    <col min="13" max="13" width="21" bestFit="1" customWidth="1"/>
    <col min="14" max="14" width="22.109375" bestFit="1" customWidth="1"/>
    <col min="15" max="15" width="21" bestFit="1" customWidth="1"/>
    <col min="16" max="16" width="22.109375" bestFit="1" customWidth="1"/>
    <col min="17" max="17" width="27.6640625" bestFit="1" customWidth="1"/>
    <col min="18" max="18" width="28.6640625" bestFit="1" customWidth="1"/>
    <col min="19" max="19" width="9.109375" bestFit="1" customWidth="1"/>
    <col min="20" max="20" width="19.6640625" bestFit="1" customWidth="1"/>
    <col min="21" max="21" width="12.6640625" bestFit="1" customWidth="1"/>
    <col min="22" max="22" width="10" bestFit="1" customWidth="1"/>
    <col min="23" max="24" width="10.5546875" bestFit="1" customWidth="1"/>
    <col min="25" max="25" width="7.88671875" bestFit="1" customWidth="1"/>
    <col min="26" max="26" width="9.109375" bestFit="1" customWidth="1"/>
    <col min="27" max="27" width="15.6640625" bestFit="1" customWidth="1"/>
    <col min="28" max="28" width="15.5546875" bestFit="1" customWidth="1"/>
    <col min="29" max="30" width="10" bestFit="1" customWidth="1"/>
    <col min="31" max="31" width="7.44140625" bestFit="1" customWidth="1"/>
    <col min="32" max="32" width="18.6640625" bestFit="1" customWidth="1"/>
    <col min="33" max="33" width="12.5546875" bestFit="1" customWidth="1"/>
  </cols>
  <sheetData>
    <row r="2" spans="2:18" ht="37.5" customHeight="1" x14ac:dyDescent="0.3">
      <c r="B2" s="9" t="s">
        <v>4</v>
      </c>
      <c r="C2" s="9" t="s">
        <v>32</v>
      </c>
      <c r="D2" s="9" t="s">
        <v>33</v>
      </c>
      <c r="E2" s="9" t="s">
        <v>0</v>
      </c>
      <c r="F2" s="9" t="s">
        <v>34</v>
      </c>
      <c r="G2" s="10"/>
    </row>
    <row r="3" spans="2:18" ht="18" customHeight="1" x14ac:dyDescent="0.3">
      <c r="B3" s="11">
        <v>42811</v>
      </c>
      <c r="C3" s="12" t="s">
        <v>35</v>
      </c>
      <c r="D3" s="12" t="s">
        <v>36</v>
      </c>
      <c r="E3" s="12" t="s">
        <v>37</v>
      </c>
      <c r="F3" s="13">
        <v>1000</v>
      </c>
    </row>
    <row r="4" spans="2:18" ht="18" customHeight="1" x14ac:dyDescent="0.3">
      <c r="B4" s="11">
        <v>42814</v>
      </c>
      <c r="C4" s="12" t="s">
        <v>38</v>
      </c>
      <c r="D4" s="12" t="s">
        <v>39</v>
      </c>
      <c r="E4" s="12" t="s">
        <v>40</v>
      </c>
      <c r="F4" s="13">
        <v>200</v>
      </c>
    </row>
    <row r="5" spans="2:18" ht="18" customHeight="1" x14ac:dyDescent="0.3">
      <c r="B5" s="11">
        <v>42816</v>
      </c>
      <c r="C5" s="12" t="s">
        <v>41</v>
      </c>
      <c r="D5" s="12" t="s">
        <v>39</v>
      </c>
      <c r="E5" s="12" t="s">
        <v>42</v>
      </c>
      <c r="F5" s="13">
        <v>3500</v>
      </c>
    </row>
    <row r="6" spans="2:18" ht="18" customHeight="1" x14ac:dyDescent="0.3">
      <c r="B6" s="11">
        <v>42845</v>
      </c>
      <c r="C6" s="12" t="s">
        <v>43</v>
      </c>
      <c r="D6" s="12" t="s">
        <v>44</v>
      </c>
      <c r="E6" s="12" t="s">
        <v>40</v>
      </c>
      <c r="F6" s="13">
        <v>100</v>
      </c>
    </row>
    <row r="7" spans="2:18" x14ac:dyDescent="0.3">
      <c r="B7" s="11">
        <v>42842</v>
      </c>
      <c r="C7" s="12" t="s">
        <v>35</v>
      </c>
      <c r="D7" s="12" t="s">
        <v>36</v>
      </c>
      <c r="E7" s="12" t="s">
        <v>45</v>
      </c>
      <c r="F7" s="13">
        <v>100</v>
      </c>
    </row>
    <row r="8" spans="2:18" ht="18" customHeight="1" x14ac:dyDescent="0.3">
      <c r="B8" s="11">
        <v>42877</v>
      </c>
      <c r="C8" s="12" t="s">
        <v>38</v>
      </c>
      <c r="D8" s="12" t="s">
        <v>44</v>
      </c>
      <c r="E8" s="12" t="s">
        <v>46</v>
      </c>
      <c r="F8" s="13">
        <v>20</v>
      </c>
    </row>
    <row r="9" spans="2:18" ht="18" customHeight="1" x14ac:dyDescent="0.3">
      <c r="B9" s="11">
        <v>42877</v>
      </c>
      <c r="C9" s="12" t="s">
        <v>41</v>
      </c>
      <c r="D9" s="12" t="s">
        <v>44</v>
      </c>
      <c r="E9" s="12" t="s">
        <v>47</v>
      </c>
      <c r="F9" s="13">
        <v>10</v>
      </c>
      <c r="H9" s="24"/>
      <c r="J9" s="25"/>
      <c r="L9" s="25"/>
      <c r="N9" s="25"/>
      <c r="P9" s="25"/>
      <c r="R9" s="25"/>
    </row>
    <row r="10" spans="2:18" ht="18" customHeight="1" x14ac:dyDescent="0.3">
      <c r="B10" s="15">
        <v>42879</v>
      </c>
      <c r="C10" s="16" t="s">
        <v>43</v>
      </c>
      <c r="D10" s="12" t="s">
        <v>36</v>
      </c>
      <c r="E10" s="16" t="s">
        <v>46</v>
      </c>
      <c r="F10" s="17">
        <v>20</v>
      </c>
      <c r="H10" s="24"/>
      <c r="J10" s="25"/>
      <c r="L10" s="25"/>
      <c r="N10" s="25"/>
      <c r="P10" s="25"/>
      <c r="R10" s="25"/>
    </row>
    <row r="11" spans="2:18" ht="18" customHeight="1" x14ac:dyDescent="0.3">
      <c r="B11" s="18">
        <v>42872</v>
      </c>
      <c r="C11" s="19" t="s">
        <v>43</v>
      </c>
      <c r="D11" s="19" t="s">
        <v>48</v>
      </c>
      <c r="E11" s="19" t="s">
        <v>49</v>
      </c>
      <c r="F11" s="20">
        <v>4000</v>
      </c>
      <c r="H11" s="24"/>
      <c r="J11" s="25"/>
      <c r="L11" s="25"/>
      <c r="N11" s="25"/>
      <c r="P11" s="25"/>
      <c r="R11" s="25"/>
    </row>
    <row r="12" spans="2:18" ht="18" customHeight="1" x14ac:dyDescent="0.3">
      <c r="B12" s="18">
        <v>42875</v>
      </c>
      <c r="C12" s="19" t="s">
        <v>35</v>
      </c>
      <c r="D12" s="12" t="s">
        <v>44</v>
      </c>
      <c r="E12" s="19" t="s">
        <v>49</v>
      </c>
      <c r="F12" s="20">
        <v>4000</v>
      </c>
      <c r="H12" s="24"/>
      <c r="J12" s="25"/>
      <c r="L12" s="25"/>
      <c r="N12" s="25"/>
      <c r="P12" s="25"/>
      <c r="R12" s="25"/>
    </row>
    <row r="13" spans="2:18" ht="18" customHeight="1" x14ac:dyDescent="0.3">
      <c r="B13" s="18">
        <v>42882</v>
      </c>
      <c r="C13" s="19" t="s">
        <v>38</v>
      </c>
      <c r="D13" s="12" t="s">
        <v>44</v>
      </c>
      <c r="E13" s="19" t="s">
        <v>50</v>
      </c>
      <c r="F13" s="20">
        <v>180</v>
      </c>
      <c r="H13" s="24"/>
      <c r="J13" s="25"/>
      <c r="L13" s="25"/>
      <c r="N13" s="25"/>
      <c r="P13" s="25"/>
      <c r="R13" s="25"/>
    </row>
    <row r="14" spans="2:18" ht="18" customHeight="1" x14ac:dyDescent="0.3">
      <c r="B14" s="18">
        <v>42875</v>
      </c>
      <c r="C14" s="19" t="s">
        <v>41</v>
      </c>
      <c r="D14" s="12" t="s">
        <v>36</v>
      </c>
      <c r="E14" s="19" t="s">
        <v>47</v>
      </c>
      <c r="F14" s="20">
        <v>10</v>
      </c>
    </row>
    <row r="15" spans="2:18" ht="18" customHeight="1" x14ac:dyDescent="0.3">
      <c r="B15" s="18">
        <v>42872</v>
      </c>
      <c r="C15" s="19" t="s">
        <v>43</v>
      </c>
      <c r="D15" s="19" t="s">
        <v>48</v>
      </c>
      <c r="E15" s="19" t="s">
        <v>46</v>
      </c>
      <c r="F15" s="20">
        <v>30</v>
      </c>
      <c r="J15" s="26" t="s">
        <v>52</v>
      </c>
      <c r="K15" t="s">
        <v>54</v>
      </c>
      <c r="L15" t="s">
        <v>70</v>
      </c>
    </row>
    <row r="16" spans="2:18" ht="18" customHeight="1" x14ac:dyDescent="0.3">
      <c r="B16" s="18">
        <v>43238</v>
      </c>
      <c r="C16" s="18" t="s">
        <v>35</v>
      </c>
      <c r="D16" s="12" t="s">
        <v>39</v>
      </c>
      <c r="E16" s="19" t="s">
        <v>37</v>
      </c>
      <c r="F16" s="13">
        <v>1000</v>
      </c>
      <c r="J16" s="24" t="s">
        <v>35</v>
      </c>
      <c r="K16">
        <v>6315</v>
      </c>
      <c r="L16" s="25">
        <v>631.5</v>
      </c>
    </row>
    <row r="17" spans="2:12" x14ac:dyDescent="0.3">
      <c r="B17" s="18">
        <v>43267</v>
      </c>
      <c r="C17" s="18" t="s">
        <v>38</v>
      </c>
      <c r="D17" s="12" t="s">
        <v>44</v>
      </c>
      <c r="E17" s="19" t="s">
        <v>51</v>
      </c>
      <c r="F17" s="20">
        <v>15</v>
      </c>
      <c r="J17" s="27" t="s">
        <v>36</v>
      </c>
      <c r="K17">
        <v>1200</v>
      </c>
      <c r="L17" s="25">
        <v>120</v>
      </c>
    </row>
    <row r="18" spans="2:12" x14ac:dyDescent="0.3">
      <c r="B18" s="18">
        <v>43268</v>
      </c>
      <c r="C18" s="18" t="s">
        <v>41</v>
      </c>
      <c r="D18" s="12" t="s">
        <v>36</v>
      </c>
      <c r="E18" s="19" t="s">
        <v>49</v>
      </c>
      <c r="F18" s="20">
        <v>4000</v>
      </c>
      <c r="J18" s="27" t="s">
        <v>39</v>
      </c>
      <c r="K18">
        <v>1100</v>
      </c>
      <c r="L18" s="25">
        <v>110</v>
      </c>
    </row>
    <row r="19" spans="2:12" x14ac:dyDescent="0.3">
      <c r="B19" s="18">
        <v>43271</v>
      </c>
      <c r="C19" s="18" t="s">
        <v>43</v>
      </c>
      <c r="D19" s="12" t="s">
        <v>44</v>
      </c>
      <c r="E19" s="19" t="s">
        <v>51</v>
      </c>
      <c r="F19" s="20">
        <v>15</v>
      </c>
      <c r="J19" s="27" t="s">
        <v>44</v>
      </c>
      <c r="K19">
        <v>4000</v>
      </c>
      <c r="L19" s="25">
        <v>400</v>
      </c>
    </row>
    <row r="20" spans="2:12" x14ac:dyDescent="0.3">
      <c r="B20" s="18">
        <v>43270</v>
      </c>
      <c r="C20" s="18" t="s">
        <v>35</v>
      </c>
      <c r="D20" s="12" t="s">
        <v>36</v>
      </c>
      <c r="E20" s="12" t="s">
        <v>40</v>
      </c>
      <c r="F20" s="13">
        <v>100</v>
      </c>
      <c r="J20" s="27" t="s">
        <v>48</v>
      </c>
      <c r="K20">
        <v>15</v>
      </c>
      <c r="L20" s="25">
        <v>1.5</v>
      </c>
    </row>
    <row r="21" spans="2:12" x14ac:dyDescent="0.3">
      <c r="B21" s="18">
        <v>43286</v>
      </c>
      <c r="C21" s="18" t="s">
        <v>38</v>
      </c>
      <c r="D21" s="19" t="s">
        <v>48</v>
      </c>
      <c r="E21" s="12" t="s">
        <v>45</v>
      </c>
      <c r="F21" s="13">
        <v>100</v>
      </c>
      <c r="J21" s="24" t="s">
        <v>43</v>
      </c>
      <c r="K21">
        <v>4380</v>
      </c>
      <c r="L21" s="25">
        <v>438</v>
      </c>
    </row>
    <row r="22" spans="2:12" x14ac:dyDescent="0.3">
      <c r="B22" s="18">
        <v>43287</v>
      </c>
      <c r="C22" s="18" t="s">
        <v>41</v>
      </c>
      <c r="D22" s="12" t="s">
        <v>36</v>
      </c>
      <c r="E22" s="19" t="s">
        <v>37</v>
      </c>
      <c r="F22" s="20">
        <v>15</v>
      </c>
      <c r="J22" s="27" t="s">
        <v>36</v>
      </c>
      <c r="K22">
        <v>120</v>
      </c>
      <c r="L22" s="25">
        <v>12</v>
      </c>
    </row>
    <row r="23" spans="2:12" x14ac:dyDescent="0.3">
      <c r="B23" s="18">
        <v>43289</v>
      </c>
      <c r="C23" s="18" t="s">
        <v>43</v>
      </c>
      <c r="D23" s="12" t="s">
        <v>44</v>
      </c>
      <c r="E23" s="12" t="s">
        <v>45</v>
      </c>
      <c r="F23" s="13">
        <v>100</v>
      </c>
      <c r="J23" s="27" t="s">
        <v>39</v>
      </c>
      <c r="K23">
        <v>15</v>
      </c>
      <c r="L23" s="25">
        <v>1.5</v>
      </c>
    </row>
    <row r="24" spans="2:12" x14ac:dyDescent="0.3">
      <c r="B24" s="18">
        <v>43316</v>
      </c>
      <c r="C24" s="18" t="s">
        <v>35</v>
      </c>
      <c r="D24" s="19" t="s">
        <v>48</v>
      </c>
      <c r="E24" s="19" t="s">
        <v>51</v>
      </c>
      <c r="F24" s="20">
        <v>15</v>
      </c>
      <c r="J24" s="27" t="s">
        <v>44</v>
      </c>
      <c r="K24">
        <v>215</v>
      </c>
      <c r="L24" s="25">
        <v>21.5</v>
      </c>
    </row>
    <row r="25" spans="2:12" x14ac:dyDescent="0.3">
      <c r="B25" s="18">
        <v>43318</v>
      </c>
      <c r="C25" s="18" t="s">
        <v>38</v>
      </c>
      <c r="D25" s="12" t="s">
        <v>44</v>
      </c>
      <c r="E25" s="12" t="s">
        <v>45</v>
      </c>
      <c r="F25" s="13">
        <v>100</v>
      </c>
      <c r="J25" s="27" t="s">
        <v>48</v>
      </c>
      <c r="K25">
        <v>4030</v>
      </c>
      <c r="L25" s="25">
        <v>403</v>
      </c>
    </row>
    <row r="26" spans="2:12" x14ac:dyDescent="0.3">
      <c r="B26" s="18">
        <v>43319</v>
      </c>
      <c r="C26" s="18" t="s">
        <v>41</v>
      </c>
      <c r="D26" s="12" t="s">
        <v>36</v>
      </c>
      <c r="E26" s="19" t="s">
        <v>49</v>
      </c>
      <c r="F26" s="20">
        <v>4000</v>
      </c>
      <c r="J26" s="24" t="s">
        <v>38</v>
      </c>
      <c r="K26">
        <v>1615</v>
      </c>
      <c r="L26" s="25">
        <v>161.5</v>
      </c>
    </row>
    <row r="27" spans="2:12" x14ac:dyDescent="0.3">
      <c r="B27" s="18">
        <v>43344</v>
      </c>
      <c r="C27" s="18" t="s">
        <v>43</v>
      </c>
      <c r="D27" s="12" t="s">
        <v>36</v>
      </c>
      <c r="E27" s="12" t="s">
        <v>45</v>
      </c>
      <c r="F27" s="13">
        <v>100</v>
      </c>
      <c r="J27" s="27" t="s">
        <v>36</v>
      </c>
      <c r="K27">
        <v>1000</v>
      </c>
      <c r="L27" s="25">
        <v>100</v>
      </c>
    </row>
    <row r="28" spans="2:12" x14ac:dyDescent="0.3">
      <c r="B28" s="18">
        <v>43347</v>
      </c>
      <c r="C28" s="18" t="s">
        <v>35</v>
      </c>
      <c r="D28" s="12" t="s">
        <v>39</v>
      </c>
      <c r="E28" s="12" t="s">
        <v>40</v>
      </c>
      <c r="F28" s="13">
        <v>100</v>
      </c>
      <c r="J28" s="27" t="s">
        <v>39</v>
      </c>
      <c r="K28">
        <v>200</v>
      </c>
      <c r="L28" s="25">
        <v>20</v>
      </c>
    </row>
    <row r="29" spans="2:12" x14ac:dyDescent="0.3">
      <c r="B29" s="18">
        <v>43713</v>
      </c>
      <c r="C29" s="18" t="s">
        <v>38</v>
      </c>
      <c r="D29" s="12" t="s">
        <v>36</v>
      </c>
      <c r="E29" s="19" t="s">
        <v>37</v>
      </c>
      <c r="F29" s="13">
        <v>1000</v>
      </c>
      <c r="J29" s="27" t="s">
        <v>44</v>
      </c>
      <c r="K29">
        <v>315</v>
      </c>
      <c r="L29" s="25">
        <v>31.5</v>
      </c>
    </row>
    <row r="30" spans="2:12" x14ac:dyDescent="0.3">
      <c r="B30" s="18">
        <v>43716</v>
      </c>
      <c r="C30" s="18" t="s">
        <v>41</v>
      </c>
      <c r="D30" s="23" t="s">
        <v>48</v>
      </c>
      <c r="E30" s="12" t="s">
        <v>42</v>
      </c>
      <c r="F30" s="13">
        <v>3500</v>
      </c>
      <c r="J30" s="27" t="s">
        <v>48</v>
      </c>
      <c r="K30">
        <v>100</v>
      </c>
      <c r="L30" s="25">
        <v>10</v>
      </c>
    </row>
    <row r="31" spans="2:12" x14ac:dyDescent="0.3">
      <c r="B31" s="18">
        <v>43728</v>
      </c>
      <c r="C31" s="18" t="s">
        <v>43</v>
      </c>
      <c r="D31" s="12" t="s">
        <v>39</v>
      </c>
      <c r="E31" s="19" t="s">
        <v>51</v>
      </c>
      <c r="F31" s="20">
        <v>15</v>
      </c>
      <c r="J31" s="24" t="s">
        <v>41</v>
      </c>
      <c r="K31">
        <v>15035</v>
      </c>
      <c r="L31" s="25">
        <v>1503.5</v>
      </c>
    </row>
    <row r="32" spans="2:12" x14ac:dyDescent="0.3">
      <c r="J32" s="27" t="s">
        <v>36</v>
      </c>
      <c r="K32">
        <v>8025</v>
      </c>
      <c r="L32" s="25">
        <v>802.5</v>
      </c>
    </row>
    <row r="33" spans="10:12" x14ac:dyDescent="0.3">
      <c r="J33" s="27" t="s">
        <v>39</v>
      </c>
      <c r="K33">
        <v>3500</v>
      </c>
      <c r="L33" s="25">
        <v>350</v>
      </c>
    </row>
    <row r="34" spans="10:12" x14ac:dyDescent="0.3">
      <c r="J34" s="27" t="s">
        <v>44</v>
      </c>
      <c r="K34">
        <v>10</v>
      </c>
      <c r="L34" s="25">
        <v>1</v>
      </c>
    </row>
    <row r="35" spans="10:12" x14ac:dyDescent="0.3">
      <c r="J35" s="27" t="s">
        <v>48</v>
      </c>
      <c r="K35">
        <v>3500</v>
      </c>
      <c r="L35" s="25">
        <v>350</v>
      </c>
    </row>
    <row r="36" spans="10:12" x14ac:dyDescent="0.3">
      <c r="J36" s="24" t="s">
        <v>53</v>
      </c>
      <c r="K36">
        <v>27345</v>
      </c>
      <c r="L36" s="25">
        <v>2734.5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base de datos</vt:lpstr>
      <vt:lpstr>Ejercicio 1</vt:lpstr>
      <vt:lpstr>Ejercicio 2</vt:lpstr>
      <vt:lpstr>Ejercicio 3</vt:lpstr>
      <vt:lpstr>Ejercicio 4</vt:lpstr>
      <vt:lpstr>Ejercicio 5</vt:lpstr>
      <vt:lpstr>Ejercicio 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Caso Sinche</dc:creator>
  <cp:lastModifiedBy>Raul Marcelo Armas Benavides</cp:lastModifiedBy>
  <dcterms:created xsi:type="dcterms:W3CDTF">2022-10-19T16:25:18Z</dcterms:created>
  <dcterms:modified xsi:type="dcterms:W3CDTF">2024-10-30T02:09:04Z</dcterms:modified>
</cp:coreProperties>
</file>