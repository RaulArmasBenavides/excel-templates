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AUL\Desktop\"/>
    </mc:Choice>
  </mc:AlternateContent>
  <xr:revisionPtr revIDLastSave="0" documentId="13_ncr:1_{9F213094-D75F-4656-B79C-812875F28F3F}" xr6:coauthVersionLast="46" xr6:coauthVersionMax="46" xr10:uidLastSave="{00000000-0000-0000-0000-000000000000}"/>
  <bookViews>
    <workbookView xWindow="-108" yWindow="-108" windowWidth="23256" windowHeight="12576" tabRatio="856" firstSheet="1" activeTab="2" xr2:uid="{00000000-000D-0000-FFFF-FFFF00000000}"/>
  </bookViews>
  <sheets>
    <sheet name="MKITS" sheetId="19" state="hidden" r:id="rId1"/>
    <sheet name="Sheet1" sheetId="30" r:id="rId2"/>
    <sheet name="QUERY" sheetId="23" r:id="rId3"/>
    <sheet name="BDKITS" sheetId="22" r:id="rId4"/>
    <sheet name="VolvoKitA" sheetId="29" r:id="rId5"/>
    <sheet name="VolvoKitA3x2" sheetId="24" r:id="rId6"/>
    <sheet name="VolvoFiltro" sheetId="3" r:id="rId7"/>
    <sheet name="MackFiltro" sheetId="5" r:id="rId8"/>
    <sheet name="MackKitA" sheetId="4" r:id="rId9"/>
    <sheet name="MackKitA3x2" sheetId="25" r:id="rId10"/>
    <sheet name="VCEKitA" sheetId="6" r:id="rId11"/>
    <sheet name="VCEKitA3x2" sheetId="26" r:id="rId12"/>
    <sheet name="VCEFiltro" sheetId="11" r:id="rId13"/>
    <sheet name="UDFiltro" sheetId="13" r:id="rId14"/>
    <sheet name="PentaKitA" sheetId="16" r:id="rId15"/>
    <sheet name="PentaKitA3x2" sheetId="27" r:id="rId16"/>
  </sheets>
  <definedNames>
    <definedName name="_xlnm._FilterDatabase" localSheetId="3" hidden="1">BDKITS!$B$1:$BG$69</definedName>
    <definedName name="_xlnm._FilterDatabase" localSheetId="2" hidden="1">QUERY!$A$2:$C$18</definedName>
    <definedName name="_xlnm.Extract" localSheetId="2">QUERY!$F$2:$BJ$18</definedName>
    <definedName name="_xlnm.Criteria" localSheetId="2">QUERY!#REF!</definedName>
  </definedNames>
  <calcPr calcId="191029"/>
  <pivotCaches>
    <pivotCache cacheId="182" r:id="rId1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J4" i="23" l="1"/>
  <c r="BJ5" i="23"/>
  <c r="BJ6" i="23"/>
  <c r="BJ7" i="23"/>
  <c r="BJ8" i="23"/>
  <c r="BJ9" i="23"/>
  <c r="BJ10" i="23"/>
  <c r="BJ11" i="23"/>
  <c r="BJ12" i="23"/>
  <c r="BJ13" i="23"/>
  <c r="BJ14" i="23"/>
  <c r="BJ15" i="23"/>
  <c r="BJ16" i="23"/>
  <c r="BJ17" i="23"/>
  <c r="BJ18" i="23"/>
  <c r="BJ3" i="23"/>
  <c r="BF18" i="23"/>
  <c r="BG18" i="23"/>
  <c r="BH18" i="23"/>
  <c r="BI18" i="23"/>
  <c r="BF17" i="23"/>
  <c r="BG17" i="23"/>
  <c r="BH17" i="23"/>
  <c r="BI17" i="23"/>
  <c r="BF16" i="23"/>
  <c r="BG16" i="23"/>
  <c r="BH16" i="23"/>
  <c r="BI16" i="23"/>
  <c r="BF15" i="23"/>
  <c r="BG15" i="23"/>
  <c r="BH15" i="23"/>
  <c r="BI15" i="23"/>
  <c r="BF14" i="23"/>
  <c r="BG14" i="23"/>
  <c r="BH14" i="23"/>
  <c r="BI14" i="23"/>
  <c r="BF13" i="23"/>
  <c r="BG13" i="23"/>
  <c r="BH13" i="23"/>
  <c r="BI13" i="23"/>
  <c r="BF12" i="23"/>
  <c r="BG12" i="23"/>
  <c r="BH12" i="23"/>
  <c r="BI12" i="23"/>
  <c r="BF11" i="23"/>
  <c r="BG11" i="23"/>
  <c r="BH11" i="23"/>
  <c r="BI11" i="23"/>
  <c r="BF10" i="23"/>
  <c r="BG10" i="23"/>
  <c r="BH10" i="23"/>
  <c r="BI10" i="23"/>
  <c r="BF9" i="23"/>
  <c r="BG9" i="23"/>
  <c r="BH9" i="23"/>
  <c r="BI9" i="23"/>
  <c r="BF8" i="23"/>
  <c r="BG8" i="23"/>
  <c r="BH8" i="23"/>
  <c r="BI8" i="23"/>
  <c r="BF7" i="23"/>
  <c r="BG7" i="23"/>
  <c r="BH7" i="23"/>
  <c r="BI7" i="23"/>
  <c r="BF6" i="23"/>
  <c r="BG6" i="23"/>
  <c r="BH6" i="23"/>
  <c r="BI6" i="23"/>
  <c r="D15" i="22"/>
  <c r="A15" i="22" s="1"/>
  <c r="BH5" i="23" l="1"/>
  <c r="BI5" i="23"/>
  <c r="BH4" i="23"/>
  <c r="BI4" i="23"/>
  <c r="BH3" i="23" l="1"/>
  <c r="BI3" i="23"/>
  <c r="AH55" i="22" l="1"/>
  <c r="AI55" i="22"/>
  <c r="AJ55" i="22"/>
  <c r="AK55" i="22"/>
  <c r="AL55" i="22"/>
  <c r="AM55" i="22"/>
  <c r="AN55" i="22"/>
  <c r="AO55" i="22"/>
  <c r="AP55" i="22"/>
  <c r="AQ55" i="22"/>
  <c r="AR55" i="22"/>
  <c r="AS55" i="22"/>
  <c r="AT55" i="22"/>
  <c r="AU55" i="22"/>
  <c r="AV55" i="22"/>
  <c r="AW55" i="22"/>
  <c r="AX55" i="22"/>
  <c r="AY55" i="22"/>
  <c r="AZ55" i="22"/>
  <c r="BA55" i="22"/>
  <c r="BB55" i="22"/>
  <c r="BC55" i="22"/>
  <c r="BD55" i="22"/>
  <c r="AG55" i="22"/>
  <c r="AG40" i="22"/>
  <c r="AH40" i="22"/>
  <c r="AI40" i="22"/>
  <c r="AJ40" i="22"/>
  <c r="AK40" i="22"/>
  <c r="AL40" i="22"/>
  <c r="AM40" i="22"/>
  <c r="AN40" i="22"/>
  <c r="AO40" i="22"/>
  <c r="AP40" i="22"/>
  <c r="AQ40" i="22"/>
  <c r="AR40" i="22"/>
  <c r="AS40" i="22"/>
  <c r="AT40" i="22"/>
  <c r="AU40" i="22"/>
  <c r="AV40" i="22"/>
  <c r="AW40" i="22"/>
  <c r="AX40" i="22"/>
  <c r="AY40" i="22"/>
  <c r="AZ40" i="22"/>
  <c r="BA40" i="22"/>
  <c r="BB40" i="22"/>
  <c r="BC40" i="22"/>
  <c r="BD40" i="22"/>
  <c r="AF40" i="22"/>
  <c r="AH47" i="22"/>
  <c r="AI47" i="22"/>
  <c r="AJ47" i="22"/>
  <c r="AK47" i="22"/>
  <c r="AL47" i="22"/>
  <c r="AM47" i="22"/>
  <c r="AN47" i="22"/>
  <c r="AO47" i="22"/>
  <c r="AP47" i="22"/>
  <c r="AQ47" i="22"/>
  <c r="AR47" i="22"/>
  <c r="AS47" i="22"/>
  <c r="AT47" i="22"/>
  <c r="AU47" i="22"/>
  <c r="AV47" i="22"/>
  <c r="AW47" i="22"/>
  <c r="AX47" i="22"/>
  <c r="AY47" i="22"/>
  <c r="AZ47" i="22"/>
  <c r="BA47" i="22"/>
  <c r="BB47" i="22"/>
  <c r="BC47" i="22"/>
  <c r="BD47" i="22"/>
  <c r="AG47" i="22"/>
  <c r="AG28" i="22"/>
  <c r="AH28" i="22"/>
  <c r="AI28" i="22"/>
  <c r="AJ28" i="22"/>
  <c r="AK28" i="22"/>
  <c r="AL28" i="22"/>
  <c r="AM28" i="22"/>
  <c r="AN28" i="22"/>
  <c r="AO28" i="22"/>
  <c r="AP28" i="22"/>
  <c r="AQ28" i="22"/>
  <c r="AR28" i="22"/>
  <c r="AS28" i="22"/>
  <c r="AT28" i="22"/>
  <c r="AU28" i="22"/>
  <c r="AV28" i="22"/>
  <c r="AW28" i="22"/>
  <c r="AX28" i="22"/>
  <c r="AY28" i="22"/>
  <c r="AZ28" i="22"/>
  <c r="BA28" i="22"/>
  <c r="BB28" i="22"/>
  <c r="BC28" i="22"/>
  <c r="BD28" i="22"/>
  <c r="AS53" i="22"/>
  <c r="AT53" i="22"/>
  <c r="AU53" i="22"/>
  <c r="AX53" i="22"/>
  <c r="AY53" i="22"/>
  <c r="AZ53" i="22"/>
  <c r="BA53" i="22"/>
  <c r="BB53" i="22"/>
  <c r="BC53" i="22"/>
  <c r="AS54" i="22"/>
  <c r="AT54" i="22"/>
  <c r="AU54" i="22"/>
  <c r="AX54" i="22"/>
  <c r="AY54" i="22"/>
  <c r="AZ54" i="22"/>
  <c r="BA54" i="22"/>
  <c r="BB54" i="22"/>
  <c r="BC54" i="22"/>
  <c r="AS38" i="22"/>
  <c r="AT38" i="22"/>
  <c r="AU38" i="22"/>
  <c r="AV38" i="22"/>
  <c r="AW38" i="22"/>
  <c r="AX38" i="22"/>
  <c r="AY38" i="22"/>
  <c r="AZ38" i="22"/>
  <c r="AP27" i="22"/>
  <c r="AQ27" i="22"/>
  <c r="AR27" i="22"/>
  <c r="AL27" i="22"/>
  <c r="AM27" i="22"/>
  <c r="AN27" i="22"/>
  <c r="AO27" i="22"/>
  <c r="AS10" i="22"/>
  <c r="AT10" i="22"/>
  <c r="AU10" i="22"/>
  <c r="AV10" i="22"/>
  <c r="AW10" i="22"/>
  <c r="AS11" i="22"/>
  <c r="AT11" i="22"/>
  <c r="AU11" i="22"/>
  <c r="AV11" i="22"/>
  <c r="AW11" i="22"/>
  <c r="AS12" i="22"/>
  <c r="AT12" i="22"/>
  <c r="AU12" i="22"/>
  <c r="AV12" i="22"/>
  <c r="AW12" i="22"/>
  <c r="AM7" i="22"/>
  <c r="AN7" i="22"/>
  <c r="AO7" i="22"/>
  <c r="AP7" i="22"/>
  <c r="AQ7" i="22"/>
  <c r="AR7" i="22"/>
  <c r="AS7" i="22"/>
  <c r="AT7" i="22"/>
  <c r="AU7" i="22"/>
  <c r="AV7" i="22"/>
  <c r="AW7" i="22"/>
  <c r="AX7" i="22"/>
  <c r="AM8" i="22"/>
  <c r="AN8" i="22"/>
  <c r="AO8" i="22"/>
  <c r="AP8" i="22"/>
  <c r="AQ8" i="22"/>
  <c r="AR8" i="22"/>
  <c r="AS8" i="22"/>
  <c r="AT8" i="22"/>
  <c r="AU8" i="22"/>
  <c r="AV8" i="22"/>
  <c r="AW8" i="22"/>
  <c r="AX8" i="22"/>
  <c r="AM9" i="22"/>
  <c r="AN9" i="22"/>
  <c r="AO9" i="22"/>
  <c r="AP9" i="22"/>
  <c r="AQ9" i="22"/>
  <c r="AR9" i="22"/>
  <c r="AS9" i="22"/>
  <c r="AT9" i="22"/>
  <c r="AU9" i="22"/>
  <c r="AV9" i="22"/>
  <c r="AW9" i="22"/>
  <c r="AX9" i="22"/>
  <c r="AM59" i="22"/>
  <c r="AN59" i="22"/>
  <c r="AO59" i="22"/>
  <c r="AP59" i="22"/>
  <c r="AQ59" i="22"/>
  <c r="AW62" i="22"/>
  <c r="AS62" i="22"/>
  <c r="AT62" i="22"/>
  <c r="AU62" i="22"/>
  <c r="AV62" i="22"/>
  <c r="AS57" i="22"/>
  <c r="AT57" i="22"/>
  <c r="AU57" i="22"/>
  <c r="AV57" i="22"/>
  <c r="AW57" i="22"/>
  <c r="AX58" i="22"/>
  <c r="AY58" i="22"/>
  <c r="AZ58" i="22"/>
  <c r="BA58" i="22"/>
  <c r="BB58" i="22"/>
  <c r="BC58" i="22"/>
  <c r="BD58" i="22"/>
  <c r="AQ67" i="22" l="1"/>
  <c r="AR67" i="22"/>
  <c r="AX67" i="22"/>
  <c r="AW67" i="22"/>
  <c r="AV67" i="22"/>
  <c r="AU67" i="22"/>
  <c r="AT67" i="22"/>
  <c r="AS67" i="22"/>
  <c r="AS36" i="22"/>
  <c r="AT36" i="22"/>
  <c r="AU36" i="22"/>
  <c r="AV36" i="22"/>
  <c r="AW36" i="22"/>
  <c r="AY36" i="22"/>
  <c r="AZ36" i="22"/>
  <c r="BA36" i="22"/>
  <c r="BB36" i="22"/>
  <c r="BC36" i="22"/>
  <c r="BD36" i="22"/>
  <c r="D38" i="22"/>
  <c r="AR25" i="22" l="1"/>
  <c r="AS25" i="22"/>
  <c r="AT25" i="22"/>
  <c r="AU25" i="22"/>
  <c r="AV25" i="22"/>
  <c r="AW25" i="22"/>
  <c r="AX25" i="22"/>
  <c r="AY25" i="22"/>
  <c r="AZ25" i="22"/>
  <c r="BA25" i="22"/>
  <c r="BB25" i="22"/>
  <c r="BC25" i="22"/>
  <c r="BD25" i="22"/>
  <c r="AR26" i="22"/>
  <c r="AS26" i="22"/>
  <c r="AT26" i="22"/>
  <c r="AU26" i="22"/>
  <c r="AV26" i="22"/>
  <c r="AW26" i="22"/>
  <c r="AX26" i="22"/>
  <c r="AY26" i="22"/>
  <c r="AZ26" i="22"/>
  <c r="BA26" i="22"/>
  <c r="BB26" i="22"/>
  <c r="BC26" i="22"/>
  <c r="BD26" i="22"/>
  <c r="AS27" i="22"/>
  <c r="AT27" i="22"/>
  <c r="AU27" i="22"/>
  <c r="AV27" i="22"/>
  <c r="AW27" i="22"/>
  <c r="AX27" i="22"/>
  <c r="AY27" i="22"/>
  <c r="AZ27" i="22"/>
  <c r="BA27" i="22"/>
  <c r="BB27" i="22"/>
  <c r="BC27" i="22"/>
  <c r="BD27" i="22"/>
  <c r="AR29" i="22"/>
  <c r="AS29" i="22"/>
  <c r="AT29" i="22"/>
  <c r="AU29" i="22"/>
  <c r="AV29" i="22"/>
  <c r="AW29" i="22"/>
  <c r="AX29" i="22"/>
  <c r="AY29" i="22"/>
  <c r="AZ29" i="22"/>
  <c r="BA29" i="22"/>
  <c r="BB29" i="22"/>
  <c r="BC29" i="22"/>
  <c r="BD29" i="22"/>
  <c r="AR30" i="22"/>
  <c r="AS30" i="22"/>
  <c r="AT30" i="22"/>
  <c r="AU30" i="22"/>
  <c r="AV30" i="22"/>
  <c r="AW30" i="22"/>
  <c r="AX30" i="22"/>
  <c r="AY30" i="22"/>
  <c r="AZ30" i="22"/>
  <c r="BA30" i="22"/>
  <c r="BB30" i="22"/>
  <c r="BC30" i="22"/>
  <c r="BD30" i="22"/>
  <c r="AR31" i="22"/>
  <c r="AS31" i="22"/>
  <c r="AT31" i="22"/>
  <c r="AU31" i="22"/>
  <c r="AV31" i="22"/>
  <c r="AW31" i="22"/>
  <c r="AX31" i="22"/>
  <c r="AY31" i="22"/>
  <c r="AZ31" i="22"/>
  <c r="BA31" i="22"/>
  <c r="BB31" i="22"/>
  <c r="BC31" i="22"/>
  <c r="BD31" i="22"/>
  <c r="AR32" i="22"/>
  <c r="AS32" i="22"/>
  <c r="AT32" i="22"/>
  <c r="AU32" i="22"/>
  <c r="AV32" i="22"/>
  <c r="AW32" i="22"/>
  <c r="AX32" i="22"/>
  <c r="AY32" i="22"/>
  <c r="AZ32" i="22"/>
  <c r="BA32" i="22"/>
  <c r="BB32" i="22"/>
  <c r="BC32" i="22"/>
  <c r="BD32" i="22"/>
  <c r="AR33" i="22"/>
  <c r="AS33" i="22"/>
  <c r="AT33" i="22"/>
  <c r="AU33" i="22"/>
  <c r="AV33" i="22"/>
  <c r="AW33" i="22"/>
  <c r="AX33" i="22"/>
  <c r="AY33" i="22"/>
  <c r="AZ33" i="22"/>
  <c r="BA33" i="22"/>
  <c r="BB33" i="22"/>
  <c r="BC33" i="22"/>
  <c r="BD33" i="22"/>
  <c r="AR34" i="22"/>
  <c r="AS34" i="22"/>
  <c r="AT34" i="22"/>
  <c r="AU34" i="22"/>
  <c r="AV34" i="22"/>
  <c r="AW34" i="22"/>
  <c r="AX34" i="22"/>
  <c r="AY34" i="22"/>
  <c r="AZ34" i="22"/>
  <c r="BA34" i="22"/>
  <c r="BB34" i="22"/>
  <c r="BC34" i="22"/>
  <c r="BD34" i="22"/>
  <c r="AR35" i="22"/>
  <c r="AS35" i="22"/>
  <c r="AT35" i="22"/>
  <c r="AU35" i="22"/>
  <c r="AV35" i="22"/>
  <c r="AW35" i="22"/>
  <c r="AX35" i="22"/>
  <c r="AY35" i="22"/>
  <c r="AZ35" i="22"/>
  <c r="BA35" i="22"/>
  <c r="BB35" i="22"/>
  <c r="BC35" i="22"/>
  <c r="BD35" i="22"/>
  <c r="AR41" i="22"/>
  <c r="AS41" i="22"/>
  <c r="AT41" i="22"/>
  <c r="AU41" i="22"/>
  <c r="AV41" i="22"/>
  <c r="AW41" i="22"/>
  <c r="AX41" i="22"/>
  <c r="AY41" i="22"/>
  <c r="AZ41" i="22"/>
  <c r="BA41" i="22"/>
  <c r="BB41" i="22"/>
  <c r="BC41" i="22"/>
  <c r="BD41" i="22"/>
  <c r="AR42" i="22"/>
  <c r="AS42" i="22"/>
  <c r="AT42" i="22"/>
  <c r="AU42" i="22"/>
  <c r="AV42" i="22"/>
  <c r="AW42" i="22"/>
  <c r="AX42" i="22"/>
  <c r="AY42" i="22"/>
  <c r="AZ42" i="22"/>
  <c r="BA42" i="22"/>
  <c r="BB42" i="22"/>
  <c r="BC42" i="22"/>
  <c r="BD42" i="22"/>
  <c r="BA38" i="22"/>
  <c r="BB38" i="22"/>
  <c r="BC38" i="22"/>
  <c r="BD38" i="22"/>
  <c r="AY39" i="22"/>
  <c r="AZ39" i="22"/>
  <c r="BA39" i="22"/>
  <c r="BB39" i="22"/>
  <c r="BC39" i="22"/>
  <c r="BD39" i="22"/>
  <c r="AX3" i="22"/>
  <c r="AY3" i="22"/>
  <c r="AZ3" i="22"/>
  <c r="BA3" i="22"/>
  <c r="BB3" i="22"/>
  <c r="BC3" i="22"/>
  <c r="BD3" i="22"/>
  <c r="AX4" i="22"/>
  <c r="AY4" i="22"/>
  <c r="AZ4" i="22"/>
  <c r="BA4" i="22"/>
  <c r="BB4" i="22"/>
  <c r="BC4" i="22"/>
  <c r="BD4" i="22"/>
  <c r="AX5" i="22"/>
  <c r="AY5" i="22"/>
  <c r="AZ5" i="22"/>
  <c r="BA5" i="22"/>
  <c r="BB5" i="22"/>
  <c r="BC5" i="22"/>
  <c r="BD5" i="22"/>
  <c r="AX6" i="22"/>
  <c r="AY6" i="22"/>
  <c r="AZ6" i="22"/>
  <c r="BA6" i="22"/>
  <c r="BB6" i="22"/>
  <c r="BC6" i="22"/>
  <c r="BD6" i="22"/>
  <c r="AY7" i="22"/>
  <c r="AZ7" i="22"/>
  <c r="BA7" i="22"/>
  <c r="BB7" i="22"/>
  <c r="BC7" i="22"/>
  <c r="BD7" i="22"/>
  <c r="AY8" i="22"/>
  <c r="AZ8" i="22"/>
  <c r="BA8" i="22"/>
  <c r="BB8" i="22"/>
  <c r="BC8" i="22"/>
  <c r="BD8" i="22"/>
  <c r="AY9" i="22"/>
  <c r="AZ9" i="22"/>
  <c r="BA9" i="22"/>
  <c r="BB9" i="22"/>
  <c r="BC9" i="22"/>
  <c r="BD9" i="22"/>
  <c r="AX10" i="22"/>
  <c r="AY10" i="22"/>
  <c r="AZ10" i="22"/>
  <c r="BA10" i="22"/>
  <c r="BB10" i="22"/>
  <c r="BC10" i="22"/>
  <c r="BD10" i="22"/>
  <c r="AX11" i="22"/>
  <c r="AY11" i="22"/>
  <c r="AZ11" i="22"/>
  <c r="BA11" i="22"/>
  <c r="BB11" i="22"/>
  <c r="BC11" i="22"/>
  <c r="BD11" i="22"/>
  <c r="AX12" i="22"/>
  <c r="AY12" i="22"/>
  <c r="AZ12" i="22"/>
  <c r="BA12" i="22"/>
  <c r="BB12" i="22"/>
  <c r="BC12" i="22"/>
  <c r="BD12" i="22"/>
  <c r="AX13" i="22"/>
  <c r="AY13" i="22"/>
  <c r="AZ13" i="22"/>
  <c r="BA13" i="22"/>
  <c r="BB13" i="22"/>
  <c r="BC13" i="22"/>
  <c r="BD13" i="22"/>
  <c r="AX14" i="22"/>
  <c r="AY14" i="22"/>
  <c r="AZ14" i="22"/>
  <c r="BA14" i="22"/>
  <c r="BB14" i="22"/>
  <c r="BC14" i="22"/>
  <c r="BD14" i="22"/>
  <c r="AX16" i="22"/>
  <c r="AY16" i="22"/>
  <c r="AZ16" i="22"/>
  <c r="BA16" i="22"/>
  <c r="BB16" i="22"/>
  <c r="BC16" i="22"/>
  <c r="BD16" i="22"/>
  <c r="AX17" i="22"/>
  <c r="AY17" i="22"/>
  <c r="AZ17" i="22"/>
  <c r="BA17" i="22"/>
  <c r="BB17" i="22"/>
  <c r="BC17" i="22"/>
  <c r="BD17" i="22"/>
  <c r="AX18" i="22"/>
  <c r="AY18" i="22"/>
  <c r="AZ18" i="22"/>
  <c r="BA18" i="22"/>
  <c r="BB18" i="22"/>
  <c r="BC18" i="22"/>
  <c r="BD18" i="22"/>
  <c r="AX19" i="22"/>
  <c r="AY19" i="22"/>
  <c r="AZ19" i="22"/>
  <c r="BA19" i="22"/>
  <c r="BB19" i="22"/>
  <c r="BC19" i="22"/>
  <c r="BD19" i="22"/>
  <c r="AX20" i="22"/>
  <c r="AY20" i="22"/>
  <c r="AZ20" i="22"/>
  <c r="BA20" i="22"/>
  <c r="BB20" i="22"/>
  <c r="BC20" i="22"/>
  <c r="BD20" i="22"/>
  <c r="AX21" i="22"/>
  <c r="AY21" i="22"/>
  <c r="AZ21" i="22"/>
  <c r="BA21" i="22"/>
  <c r="BB21" i="22"/>
  <c r="BC21" i="22"/>
  <c r="BD21" i="22"/>
  <c r="AX22" i="22"/>
  <c r="AY22" i="22"/>
  <c r="AZ22" i="22"/>
  <c r="BA22" i="22"/>
  <c r="BB22" i="22"/>
  <c r="BC22" i="22"/>
  <c r="BD22" i="22"/>
  <c r="AX23" i="22"/>
  <c r="AY23" i="22"/>
  <c r="AZ23" i="22"/>
  <c r="BA23" i="22"/>
  <c r="BB23" i="22"/>
  <c r="BC23" i="22"/>
  <c r="BD23" i="22"/>
  <c r="AX24" i="22"/>
  <c r="AY24" i="22"/>
  <c r="AZ24" i="22"/>
  <c r="BA24" i="22"/>
  <c r="BB24" i="22"/>
  <c r="BC24" i="22"/>
  <c r="BD24" i="22"/>
  <c r="AT64" i="22" l="1"/>
  <c r="AU64" i="22"/>
  <c r="AV64" i="22"/>
  <c r="AW64" i="22"/>
  <c r="AX64" i="22"/>
  <c r="AY64" i="22"/>
  <c r="AZ64" i="22"/>
  <c r="BA64" i="22"/>
  <c r="BB64" i="22"/>
  <c r="BC64" i="22"/>
  <c r="BD64" i="22"/>
  <c r="AS64" i="22"/>
  <c r="AR61" i="22"/>
  <c r="AS61" i="22"/>
  <c r="AT61" i="22"/>
  <c r="AU61" i="22"/>
  <c r="AV61" i="22"/>
  <c r="AW61" i="22"/>
  <c r="AX61" i="22"/>
  <c r="AY61" i="22"/>
  <c r="AZ61" i="22"/>
  <c r="BA61" i="22"/>
  <c r="BB61" i="22"/>
  <c r="BC61" i="22"/>
  <c r="BD61" i="22"/>
  <c r="AM61" i="22"/>
  <c r="AN61" i="22"/>
  <c r="AO61" i="22"/>
  <c r="AP61" i="22"/>
  <c r="AQ61" i="22"/>
  <c r="AM60" i="22"/>
  <c r="AN60" i="22"/>
  <c r="AO60" i="22"/>
  <c r="AP60" i="22"/>
  <c r="AX36" i="22"/>
  <c r="AX37" i="22"/>
  <c r="AX39" i="22"/>
  <c r="AX43" i="22"/>
  <c r="AM37" i="22"/>
  <c r="AN37" i="22"/>
  <c r="AO37" i="22"/>
  <c r="AP37" i="22"/>
  <c r="AQ37" i="22"/>
  <c r="AR37" i="22"/>
  <c r="AS37" i="22"/>
  <c r="AT37" i="22"/>
  <c r="AU37" i="22"/>
  <c r="AV37" i="22"/>
  <c r="AW37" i="22"/>
  <c r="AY37" i="22"/>
  <c r="AZ37" i="22"/>
  <c r="BA37" i="22"/>
  <c r="BB37" i="22"/>
  <c r="BC37" i="22"/>
  <c r="BD37" i="22"/>
  <c r="AF37" i="22"/>
  <c r="AF45" i="22"/>
  <c r="AF46" i="22"/>
  <c r="AF44" i="22"/>
  <c r="AF56" i="22"/>
  <c r="AF57" i="22"/>
  <c r="AF58" i="22"/>
  <c r="T56" i="22"/>
  <c r="T57" i="22"/>
  <c r="T58" i="22"/>
  <c r="N56" i="22"/>
  <c r="N57" i="22"/>
  <c r="N58" i="22"/>
  <c r="N44" i="22"/>
  <c r="N45" i="22"/>
  <c r="N46" i="22"/>
  <c r="N48" i="22"/>
  <c r="N47" i="22"/>
  <c r="AW48" i="22"/>
  <c r="AV48" i="22"/>
  <c r="AF48" i="22"/>
  <c r="AF28" i="22"/>
  <c r="AL48" i="22"/>
  <c r="A44" i="22" l="1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B2" i="27"/>
  <c r="C2" i="27"/>
  <c r="D2" i="27"/>
  <c r="E2" i="27"/>
  <c r="F2" i="27"/>
  <c r="G2" i="27"/>
  <c r="H2" i="27"/>
  <c r="I2" i="27"/>
  <c r="J2" i="27"/>
  <c r="K2" i="27"/>
  <c r="L2" i="27"/>
  <c r="M2" i="27"/>
  <c r="N2" i="27"/>
  <c r="O2" i="27"/>
  <c r="P2" i="27"/>
  <c r="Q2" i="27"/>
  <c r="R2" i="27"/>
  <c r="S2" i="27"/>
  <c r="T2" i="27"/>
  <c r="U2" i="27"/>
  <c r="V2" i="27"/>
  <c r="W2" i="27"/>
  <c r="X2" i="27"/>
  <c r="Y2" i="27"/>
  <c r="Z2" i="27"/>
  <c r="AA2" i="27"/>
  <c r="AB2" i="27"/>
  <c r="AC2" i="27"/>
  <c r="AD2" i="27"/>
  <c r="AE2" i="27"/>
  <c r="AF2" i="27"/>
  <c r="AG2" i="27"/>
  <c r="AH2" i="27"/>
  <c r="AI2" i="27"/>
  <c r="AJ2" i="27"/>
  <c r="AK2" i="27"/>
  <c r="AL2" i="27"/>
  <c r="AM2" i="27"/>
  <c r="AN2" i="27"/>
  <c r="AO2" i="27"/>
  <c r="AP2" i="27"/>
  <c r="AQ2" i="27"/>
  <c r="AR2" i="27"/>
  <c r="AS2" i="27"/>
  <c r="AT2" i="27"/>
  <c r="AU2" i="27"/>
  <c r="AV2" i="27"/>
  <c r="AW2" i="27"/>
  <c r="AX2" i="27"/>
  <c r="AY2" i="27"/>
  <c r="AZ2" i="27"/>
  <c r="BA2" i="27"/>
  <c r="BB2" i="27"/>
  <c r="BC2" i="27"/>
  <c r="BD2" i="27"/>
  <c r="BE2" i="27"/>
  <c r="B2" i="16"/>
  <c r="C2" i="16"/>
  <c r="D2" i="16"/>
  <c r="E2" i="16"/>
  <c r="F2" i="16"/>
  <c r="G2" i="16"/>
  <c r="H2" i="16"/>
  <c r="I2" i="16"/>
  <c r="J2" i="16"/>
  <c r="K2" i="16"/>
  <c r="L2" i="16"/>
  <c r="M2" i="16"/>
  <c r="N2" i="16"/>
  <c r="O2" i="16"/>
  <c r="P2" i="16"/>
  <c r="Q2" i="16"/>
  <c r="R2" i="16"/>
  <c r="S2" i="16"/>
  <c r="T2" i="16"/>
  <c r="U2" i="16"/>
  <c r="V2" i="16"/>
  <c r="W2" i="16"/>
  <c r="X2" i="16"/>
  <c r="Y2" i="16"/>
  <c r="Z2" i="16"/>
  <c r="AA2" i="16"/>
  <c r="AB2" i="16"/>
  <c r="AC2" i="16"/>
  <c r="AD2" i="16"/>
  <c r="AE2" i="16"/>
  <c r="AF2" i="16"/>
  <c r="AG2" i="16"/>
  <c r="AH2" i="16"/>
  <c r="AI2" i="16"/>
  <c r="AJ2" i="16"/>
  <c r="AK2" i="16"/>
  <c r="AL2" i="16"/>
  <c r="AM2" i="16"/>
  <c r="AN2" i="16"/>
  <c r="AO2" i="16"/>
  <c r="AP2" i="16"/>
  <c r="AQ2" i="16"/>
  <c r="AR2" i="16"/>
  <c r="AS2" i="16"/>
  <c r="AT2" i="16"/>
  <c r="AU2" i="16"/>
  <c r="AV2" i="16"/>
  <c r="AW2" i="16"/>
  <c r="AX2" i="16"/>
  <c r="AY2" i="16"/>
  <c r="AZ2" i="16"/>
  <c r="BA2" i="16"/>
  <c r="BB2" i="16"/>
  <c r="BC2" i="16"/>
  <c r="BD2" i="16"/>
  <c r="BE2" i="16"/>
  <c r="B2" i="13"/>
  <c r="C2" i="13"/>
  <c r="D2" i="13"/>
  <c r="E2" i="13"/>
  <c r="F2" i="13"/>
  <c r="G2" i="13"/>
  <c r="H2" i="13"/>
  <c r="I2" i="13"/>
  <c r="J2" i="13"/>
  <c r="K2" i="13"/>
  <c r="L2" i="13"/>
  <c r="M2" i="13"/>
  <c r="N2" i="13"/>
  <c r="O2" i="13"/>
  <c r="P2" i="13"/>
  <c r="Q2" i="13"/>
  <c r="R2" i="13"/>
  <c r="S2" i="13"/>
  <c r="T2" i="13"/>
  <c r="U2" i="13"/>
  <c r="V2" i="13"/>
  <c r="W2" i="13"/>
  <c r="X2" i="13"/>
  <c r="Y2" i="13"/>
  <c r="Z2" i="13"/>
  <c r="AA2" i="13"/>
  <c r="AB2" i="13"/>
  <c r="AC2" i="13"/>
  <c r="AD2" i="13"/>
  <c r="AE2" i="13"/>
  <c r="AF2" i="13"/>
  <c r="AG2" i="13"/>
  <c r="AH2" i="13"/>
  <c r="AI2" i="13"/>
  <c r="AJ2" i="13"/>
  <c r="AK2" i="13"/>
  <c r="AL2" i="13"/>
  <c r="AM2" i="13"/>
  <c r="AN2" i="13"/>
  <c r="AO2" i="13"/>
  <c r="AP2" i="13"/>
  <c r="AQ2" i="13"/>
  <c r="AR2" i="13"/>
  <c r="AS2" i="13"/>
  <c r="AT2" i="13"/>
  <c r="AU2" i="13"/>
  <c r="AV2" i="13"/>
  <c r="AW2" i="13"/>
  <c r="AX2" i="13"/>
  <c r="AY2" i="13"/>
  <c r="AZ2" i="13"/>
  <c r="BA2" i="13"/>
  <c r="BB2" i="13"/>
  <c r="BC2" i="13"/>
  <c r="BD2" i="13"/>
  <c r="BE2" i="13"/>
  <c r="B2" i="11"/>
  <c r="C2" i="11"/>
  <c r="D2" i="11"/>
  <c r="E2" i="11"/>
  <c r="F2" i="11"/>
  <c r="G2" i="11"/>
  <c r="H2" i="11"/>
  <c r="I2" i="11"/>
  <c r="J2" i="11"/>
  <c r="K2" i="11"/>
  <c r="L2" i="11"/>
  <c r="M2" i="11"/>
  <c r="N2" i="11"/>
  <c r="O2" i="11"/>
  <c r="P2" i="11"/>
  <c r="Q2" i="11"/>
  <c r="R2" i="11"/>
  <c r="S2" i="11"/>
  <c r="T2" i="11"/>
  <c r="U2" i="11"/>
  <c r="V2" i="11"/>
  <c r="W2" i="11"/>
  <c r="X2" i="11"/>
  <c r="Y2" i="11"/>
  <c r="Z2" i="11"/>
  <c r="AA2" i="11"/>
  <c r="AB2" i="11"/>
  <c r="AC2" i="11"/>
  <c r="AD2" i="11"/>
  <c r="AE2" i="11"/>
  <c r="AF2" i="11"/>
  <c r="AG2" i="11"/>
  <c r="AH2" i="11"/>
  <c r="AI2" i="11"/>
  <c r="AJ2" i="11"/>
  <c r="AK2" i="11"/>
  <c r="AL2" i="11"/>
  <c r="AM2" i="11"/>
  <c r="AN2" i="11"/>
  <c r="AO2" i="11"/>
  <c r="AP2" i="11"/>
  <c r="AQ2" i="11"/>
  <c r="AR2" i="11"/>
  <c r="AS2" i="11"/>
  <c r="AT2" i="11"/>
  <c r="AU2" i="11"/>
  <c r="AV2" i="11"/>
  <c r="AW2" i="11"/>
  <c r="AX2" i="11"/>
  <c r="AY2" i="11"/>
  <c r="AZ2" i="11"/>
  <c r="BA2" i="11"/>
  <c r="BB2" i="11"/>
  <c r="BC2" i="11"/>
  <c r="BD2" i="11"/>
  <c r="BE2" i="11"/>
  <c r="B2" i="26"/>
  <c r="C2" i="26"/>
  <c r="D2" i="26"/>
  <c r="E2" i="26"/>
  <c r="F2" i="26"/>
  <c r="G2" i="26"/>
  <c r="H2" i="26"/>
  <c r="I2" i="26"/>
  <c r="J2" i="26"/>
  <c r="K2" i="26"/>
  <c r="L2" i="26"/>
  <c r="M2" i="26"/>
  <c r="N2" i="26"/>
  <c r="O2" i="26"/>
  <c r="P2" i="26"/>
  <c r="Q2" i="26"/>
  <c r="R2" i="26"/>
  <c r="S2" i="26"/>
  <c r="T2" i="26"/>
  <c r="U2" i="26"/>
  <c r="V2" i="26"/>
  <c r="W2" i="26"/>
  <c r="X2" i="26"/>
  <c r="Y2" i="26"/>
  <c r="Z2" i="26"/>
  <c r="AA2" i="26"/>
  <c r="AB2" i="26"/>
  <c r="AC2" i="26"/>
  <c r="AD2" i="26"/>
  <c r="AE2" i="26"/>
  <c r="AF2" i="26"/>
  <c r="AG2" i="26"/>
  <c r="AH2" i="26"/>
  <c r="AI2" i="26"/>
  <c r="AJ2" i="26"/>
  <c r="AK2" i="26"/>
  <c r="AL2" i="26"/>
  <c r="AM2" i="26"/>
  <c r="AN2" i="26"/>
  <c r="AO2" i="26"/>
  <c r="AP2" i="26"/>
  <c r="AQ2" i="26"/>
  <c r="AR2" i="26"/>
  <c r="AS2" i="26"/>
  <c r="AT2" i="26"/>
  <c r="AU2" i="26"/>
  <c r="AV2" i="26"/>
  <c r="AW2" i="26"/>
  <c r="AX2" i="26"/>
  <c r="AY2" i="26"/>
  <c r="AZ2" i="26"/>
  <c r="BA2" i="26"/>
  <c r="BB2" i="26"/>
  <c r="BC2" i="26"/>
  <c r="BD2" i="26"/>
  <c r="BE2" i="26"/>
  <c r="B2" i="6"/>
  <c r="C2" i="6"/>
  <c r="D2" i="6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2" i="25"/>
  <c r="C2" i="25"/>
  <c r="D2" i="25"/>
  <c r="E2" i="25"/>
  <c r="F2" i="25"/>
  <c r="G2" i="25"/>
  <c r="H2" i="25"/>
  <c r="I2" i="25"/>
  <c r="J2" i="25"/>
  <c r="K2" i="25"/>
  <c r="L2" i="25"/>
  <c r="M2" i="25"/>
  <c r="N2" i="25"/>
  <c r="O2" i="25"/>
  <c r="P2" i="25"/>
  <c r="Q2" i="25"/>
  <c r="R2" i="25"/>
  <c r="S2" i="25"/>
  <c r="T2" i="25"/>
  <c r="U2" i="25"/>
  <c r="V2" i="25"/>
  <c r="W2" i="25"/>
  <c r="X2" i="25"/>
  <c r="Y2" i="25"/>
  <c r="Z2" i="25"/>
  <c r="AA2" i="25"/>
  <c r="AB2" i="25"/>
  <c r="AC2" i="25"/>
  <c r="AD2" i="25"/>
  <c r="AE2" i="25"/>
  <c r="AF2" i="25"/>
  <c r="AG2" i="25"/>
  <c r="AH2" i="25"/>
  <c r="AI2" i="25"/>
  <c r="AJ2" i="25"/>
  <c r="AK2" i="25"/>
  <c r="AL2" i="25"/>
  <c r="AM2" i="25"/>
  <c r="AN2" i="25"/>
  <c r="AO2" i="25"/>
  <c r="AP2" i="25"/>
  <c r="AW2" i="25"/>
  <c r="AX2" i="25"/>
  <c r="AY2" i="25"/>
  <c r="AZ2" i="25"/>
  <c r="BA2" i="25"/>
  <c r="BB2" i="25"/>
  <c r="BC2" i="25"/>
  <c r="BD2" i="25"/>
  <c r="BE2" i="25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AI2" i="4"/>
  <c r="AJ2" i="4"/>
  <c r="AK2" i="4"/>
  <c r="AL2" i="4"/>
  <c r="AM2" i="4"/>
  <c r="AN2" i="4"/>
  <c r="AO2" i="4"/>
  <c r="AP2" i="4"/>
  <c r="AQ2" i="4"/>
  <c r="AR2" i="4"/>
  <c r="AS2" i="4"/>
  <c r="AT2" i="4"/>
  <c r="AU2" i="4"/>
  <c r="AV2" i="4"/>
  <c r="AW2" i="4"/>
  <c r="AX2" i="4"/>
  <c r="AY2" i="4"/>
  <c r="AZ2" i="4"/>
  <c r="BA2" i="4"/>
  <c r="BB2" i="4"/>
  <c r="BC2" i="4"/>
  <c r="BD2" i="4"/>
  <c r="BE2" i="4"/>
  <c r="B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2" i="24"/>
  <c r="C2" i="24"/>
  <c r="D2" i="24"/>
  <c r="E2" i="24"/>
  <c r="F2" i="24"/>
  <c r="G2" i="24"/>
  <c r="H2" i="24"/>
  <c r="I2" i="24"/>
  <c r="J2" i="24"/>
  <c r="K2" i="24"/>
  <c r="L2" i="24"/>
  <c r="M2" i="24"/>
  <c r="N2" i="24"/>
  <c r="O2" i="24"/>
  <c r="P2" i="24"/>
  <c r="Q2" i="24"/>
  <c r="R2" i="24"/>
  <c r="S2" i="24"/>
  <c r="T2" i="24"/>
  <c r="U2" i="24"/>
  <c r="V2" i="24"/>
  <c r="W2" i="24"/>
  <c r="X2" i="24"/>
  <c r="Y2" i="24"/>
  <c r="Z2" i="24"/>
  <c r="AA2" i="24"/>
  <c r="AB2" i="24"/>
  <c r="AC2" i="24"/>
  <c r="AD2" i="24"/>
  <c r="AE2" i="24"/>
  <c r="AF2" i="24"/>
  <c r="AG2" i="24"/>
  <c r="AH2" i="24"/>
  <c r="AI2" i="24"/>
  <c r="AJ2" i="24"/>
  <c r="AK2" i="24"/>
  <c r="AL2" i="24"/>
  <c r="AM2" i="24"/>
  <c r="AN2" i="24"/>
  <c r="AO2" i="24"/>
  <c r="AP2" i="24"/>
  <c r="AQ2" i="24"/>
  <c r="AR2" i="24"/>
  <c r="AS2" i="24"/>
  <c r="AT2" i="24"/>
  <c r="AU2" i="24"/>
  <c r="AV2" i="24"/>
  <c r="AW2" i="24"/>
  <c r="AX2" i="24"/>
  <c r="AY2" i="24"/>
  <c r="AZ2" i="24"/>
  <c r="BA2" i="24"/>
  <c r="BB2" i="24"/>
  <c r="BC2" i="24"/>
  <c r="BD2" i="24"/>
  <c r="BE2" i="24"/>
  <c r="BE2" i="29"/>
  <c r="BD2" i="29"/>
  <c r="BC2" i="29"/>
  <c r="BB2" i="29"/>
  <c r="BA2" i="29"/>
  <c r="AZ2" i="29"/>
  <c r="AY2" i="29"/>
  <c r="AX2" i="29"/>
  <c r="AW2" i="29"/>
  <c r="AV2" i="29"/>
  <c r="AU2" i="29"/>
  <c r="AT2" i="29"/>
  <c r="AS2" i="29"/>
  <c r="AR2" i="29"/>
  <c r="AQ2" i="29"/>
  <c r="AP2" i="29"/>
  <c r="AO2" i="29"/>
  <c r="AN2" i="29"/>
  <c r="AM2" i="29"/>
  <c r="AL2" i="29"/>
  <c r="AK2" i="29"/>
  <c r="AJ2" i="29"/>
  <c r="AI2" i="29"/>
  <c r="AH2" i="29"/>
  <c r="AG2" i="29"/>
  <c r="AF2" i="29"/>
  <c r="AE2" i="29"/>
  <c r="AD2" i="29"/>
  <c r="AC2" i="29"/>
  <c r="AB2" i="29"/>
  <c r="AA2" i="29"/>
  <c r="Z2" i="29"/>
  <c r="Y2" i="29"/>
  <c r="X2" i="29"/>
  <c r="W2" i="29"/>
  <c r="V2" i="29"/>
  <c r="U2" i="29"/>
  <c r="T2" i="29"/>
  <c r="S2" i="29"/>
  <c r="R2" i="29"/>
  <c r="Q2" i="29"/>
  <c r="P2" i="29"/>
  <c r="O2" i="29"/>
  <c r="N2" i="29"/>
  <c r="M2" i="29"/>
  <c r="L2" i="29"/>
  <c r="K2" i="29"/>
  <c r="J2" i="29"/>
  <c r="I2" i="29"/>
  <c r="H2" i="29"/>
  <c r="G2" i="29"/>
  <c r="F2" i="29"/>
  <c r="E2" i="29"/>
  <c r="D2" i="29"/>
  <c r="C2" i="29"/>
  <c r="B2" i="29"/>
  <c r="A2" i="29"/>
  <c r="Z44" i="22" l="1"/>
  <c r="Z45" i="22"/>
  <c r="Z46" i="22"/>
  <c r="Z47" i="22"/>
  <c r="Z48" i="22"/>
  <c r="Z49" i="22"/>
  <c r="Z50" i="22"/>
  <c r="Z51" i="22"/>
  <c r="Z52" i="22"/>
  <c r="Z53" i="22"/>
  <c r="Z54" i="22"/>
  <c r="Z55" i="22"/>
  <c r="Z56" i="22"/>
  <c r="Z57" i="22"/>
  <c r="Z58" i="22"/>
  <c r="Z59" i="22"/>
  <c r="Z60" i="22"/>
  <c r="Z61" i="22"/>
  <c r="Z62" i="22"/>
  <c r="Z63" i="22"/>
  <c r="Z64" i="22"/>
  <c r="Z65" i="22"/>
  <c r="Z66" i="22"/>
  <c r="Z67" i="22"/>
  <c r="Z68" i="22"/>
  <c r="Z69" i="22"/>
  <c r="T44" i="22"/>
  <c r="T45" i="22"/>
  <c r="T46" i="22"/>
  <c r="T47" i="22"/>
  <c r="T48" i="22"/>
  <c r="AS48" i="22"/>
  <c r="AT48" i="22"/>
  <c r="AU48" i="22"/>
  <c r="AS49" i="22"/>
  <c r="AT49" i="22"/>
  <c r="AU49" i="22"/>
  <c r="AS50" i="22"/>
  <c r="AT50" i="22"/>
  <c r="AU50" i="22"/>
  <c r="AS51" i="22"/>
  <c r="AT51" i="22"/>
  <c r="AU51" i="22"/>
  <c r="AS52" i="22"/>
  <c r="AT52" i="22"/>
  <c r="AU52" i="22"/>
  <c r="AT46" i="22"/>
  <c r="AR46" i="22"/>
  <c r="AR59" i="22"/>
  <c r="AS59" i="22"/>
  <c r="AT59" i="22"/>
  <c r="AU59" i="22"/>
  <c r="AV59" i="22"/>
  <c r="AW59" i="22"/>
  <c r="AX59" i="22"/>
  <c r="AY59" i="22"/>
  <c r="AZ59" i="22"/>
  <c r="BA59" i="22"/>
  <c r="BB59" i="22"/>
  <c r="BC59" i="22"/>
  <c r="BD59" i="22"/>
  <c r="AR60" i="22"/>
  <c r="AS60" i="22"/>
  <c r="AT60" i="22"/>
  <c r="AU60" i="22"/>
  <c r="AV60" i="22"/>
  <c r="AW60" i="22"/>
  <c r="AX60" i="22"/>
  <c r="AY60" i="22"/>
  <c r="AZ60" i="22"/>
  <c r="BA60" i="22"/>
  <c r="BB60" i="22"/>
  <c r="BC60" i="22"/>
  <c r="BD60" i="22"/>
  <c r="B2" i="22"/>
  <c r="B3" i="22"/>
  <c r="B4" i="22"/>
  <c r="B5" i="22"/>
  <c r="B6" i="22"/>
  <c r="A6" i="22" s="1"/>
  <c r="B7" i="22"/>
  <c r="A7" i="22" s="1"/>
  <c r="B8" i="22"/>
  <c r="A8" i="22" s="1"/>
  <c r="B9" i="22"/>
  <c r="A9" i="22" s="1"/>
  <c r="B10" i="22"/>
  <c r="A10" i="22" s="1"/>
  <c r="B11" i="22"/>
  <c r="A11" i="22" s="1"/>
  <c r="B12" i="22"/>
  <c r="A12" i="22" s="1"/>
  <c r="B13" i="22"/>
  <c r="A13" i="22" s="1"/>
  <c r="B14" i="22"/>
  <c r="A14" i="22" s="1"/>
  <c r="B16" i="22"/>
  <c r="B17" i="22"/>
  <c r="A17" i="22" s="1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AS46" i="22"/>
  <c r="AU46" i="22"/>
  <c r="AW46" i="22"/>
  <c r="AL49" i="22"/>
  <c r="AL50" i="22"/>
  <c r="AL51" i="22"/>
  <c r="AL53" i="22"/>
  <c r="AF49" i="22"/>
  <c r="AF50" i="22"/>
  <c r="AF51" i="22"/>
  <c r="AF52" i="22"/>
  <c r="AF53" i="22"/>
  <c r="AF54" i="22"/>
  <c r="AR54" i="22"/>
  <c r="N49" i="22"/>
  <c r="N50" i="22"/>
  <c r="N51" i="22"/>
  <c r="N52" i="22"/>
  <c r="N53" i="22"/>
  <c r="N54" i="22"/>
  <c r="N55" i="22"/>
  <c r="T49" i="22"/>
  <c r="T50" i="22"/>
  <c r="T51" i="22"/>
  <c r="T52" i="22"/>
  <c r="T53" i="22"/>
  <c r="T54" i="22"/>
  <c r="T55" i="22"/>
  <c r="AL57" i="22"/>
  <c r="AQ60" i="22"/>
  <c r="AX62" i="22"/>
  <c r="AY62" i="22"/>
  <c r="AZ62" i="22"/>
  <c r="BA62" i="22"/>
  <c r="BB62" i="22"/>
  <c r="BC62" i="22"/>
  <c r="BD62" i="22"/>
  <c r="AX63" i="22"/>
  <c r="AY63" i="22"/>
  <c r="AZ63" i="22"/>
  <c r="BA63" i="22"/>
  <c r="BB63" i="22"/>
  <c r="BC63" i="22"/>
  <c r="BD63" i="22"/>
  <c r="AL62" i="22"/>
  <c r="AL63" i="22"/>
  <c r="AL64" i="22"/>
  <c r="AR65" i="22"/>
  <c r="AX65" i="22"/>
  <c r="AY65" i="22"/>
  <c r="AZ65" i="22"/>
  <c r="BA65" i="22"/>
  <c r="BB65" i="22"/>
  <c r="BC65" i="22"/>
  <c r="BD65" i="22"/>
  <c r="AX66" i="22"/>
  <c r="AY66" i="22"/>
  <c r="AZ66" i="22"/>
  <c r="BA66" i="22"/>
  <c r="BB66" i="22"/>
  <c r="BC66" i="22"/>
  <c r="BD66" i="22"/>
  <c r="AY67" i="22"/>
  <c r="AZ67" i="22"/>
  <c r="BA67" i="22"/>
  <c r="BB67" i="22"/>
  <c r="BC67" i="22"/>
  <c r="BD67" i="22"/>
  <c r="AL66" i="22"/>
  <c r="AS66" i="22"/>
  <c r="AT66" i="22"/>
  <c r="AU66" i="22"/>
  <c r="AV66" i="22"/>
  <c r="AW66" i="22"/>
  <c r="AF59" i="22"/>
  <c r="AF60" i="22"/>
  <c r="AF61" i="22"/>
  <c r="AF62" i="22"/>
  <c r="AF63" i="22"/>
  <c r="AF64" i="22"/>
  <c r="AF65" i="22"/>
  <c r="AF66" i="22"/>
  <c r="AF67" i="22"/>
  <c r="AK68" i="22"/>
  <c r="AL68" i="22"/>
  <c r="AM68" i="22"/>
  <c r="AN68" i="22"/>
  <c r="AO68" i="22"/>
  <c r="AP68" i="22"/>
  <c r="AQ68" i="22"/>
  <c r="AR68" i="22"/>
  <c r="AS68" i="22"/>
  <c r="AT68" i="22"/>
  <c r="AU68" i="22"/>
  <c r="AV68" i="22"/>
  <c r="AW68" i="22"/>
  <c r="AX68" i="22"/>
  <c r="AY68" i="22"/>
  <c r="AZ68" i="22"/>
  <c r="BA68" i="22"/>
  <c r="BB68" i="22"/>
  <c r="BC68" i="22"/>
  <c r="BD68" i="22"/>
  <c r="AR69" i="22"/>
  <c r="AS69" i="22"/>
  <c r="AT69" i="22"/>
  <c r="AU69" i="22"/>
  <c r="AV69" i="22"/>
  <c r="AW69" i="22"/>
  <c r="AX69" i="22"/>
  <c r="AY69" i="22"/>
  <c r="AZ69" i="22"/>
  <c r="BA69" i="22"/>
  <c r="BB69" i="22"/>
  <c r="BC69" i="22"/>
  <c r="BD69" i="22"/>
  <c r="N59" i="22"/>
  <c r="N60" i="22"/>
  <c r="N61" i="22"/>
  <c r="N62" i="22"/>
  <c r="N63" i="22"/>
  <c r="N64" i="22"/>
  <c r="N65" i="22"/>
  <c r="N66" i="22"/>
  <c r="N67" i="22"/>
  <c r="N68" i="22"/>
  <c r="N69" i="22"/>
  <c r="T59" i="22"/>
  <c r="T60" i="22"/>
  <c r="T61" i="22"/>
  <c r="T62" i="22"/>
  <c r="T63" i="22"/>
  <c r="T64" i="22"/>
  <c r="T65" i="22"/>
  <c r="T66" i="22"/>
  <c r="T67" i="22"/>
  <c r="T68" i="22"/>
  <c r="T69" i="22"/>
  <c r="AF69" i="22"/>
  <c r="AX44" i="22"/>
  <c r="AY44" i="22"/>
  <c r="AZ44" i="22"/>
  <c r="BA44" i="22"/>
  <c r="BB44" i="22"/>
  <c r="BC44" i="22"/>
  <c r="BD44" i="22"/>
  <c r="AX45" i="22"/>
  <c r="AY45" i="22"/>
  <c r="AZ45" i="22"/>
  <c r="BA45" i="22"/>
  <c r="BB45" i="22"/>
  <c r="BC45" i="22"/>
  <c r="BD45" i="22"/>
  <c r="AX46" i="22"/>
  <c r="AY46" i="22"/>
  <c r="AZ46" i="22"/>
  <c r="BA46" i="22"/>
  <c r="BB46" i="22"/>
  <c r="BC46" i="22"/>
  <c r="BD46" i="22"/>
  <c r="AX48" i="22"/>
  <c r="AY48" i="22"/>
  <c r="AZ48" i="22"/>
  <c r="BA48" i="22"/>
  <c r="BB48" i="22"/>
  <c r="BC48" i="22"/>
  <c r="BD48" i="22"/>
  <c r="AX49" i="22"/>
  <c r="AY49" i="22"/>
  <c r="AZ49" i="22"/>
  <c r="BA49" i="22"/>
  <c r="BB49" i="22"/>
  <c r="BC49" i="22"/>
  <c r="BD49" i="22"/>
  <c r="AX50" i="22"/>
  <c r="AY50" i="22"/>
  <c r="AZ50" i="22"/>
  <c r="BA50" i="22"/>
  <c r="BB50" i="22"/>
  <c r="BC50" i="22"/>
  <c r="BD50" i="22"/>
  <c r="AX51" i="22"/>
  <c r="AY51" i="22"/>
  <c r="AZ51" i="22"/>
  <c r="BA51" i="22"/>
  <c r="BB51" i="22"/>
  <c r="BC51" i="22"/>
  <c r="BD51" i="22"/>
  <c r="AX52" i="22"/>
  <c r="AY52" i="22"/>
  <c r="AZ52" i="22"/>
  <c r="BA52" i="22"/>
  <c r="BB52" i="22"/>
  <c r="BC52" i="22"/>
  <c r="BD52" i="22"/>
  <c r="BD53" i="22"/>
  <c r="BD54" i="22"/>
  <c r="AX56" i="22"/>
  <c r="AY56" i="22"/>
  <c r="AZ56" i="22"/>
  <c r="BA56" i="22"/>
  <c r="BB56" i="22"/>
  <c r="BC56" i="22"/>
  <c r="BD56" i="22"/>
  <c r="AX57" i="22"/>
  <c r="AY57" i="22"/>
  <c r="AZ57" i="22"/>
  <c r="BA57" i="22"/>
  <c r="BB57" i="22"/>
  <c r="BC57" i="22"/>
  <c r="BD57" i="22"/>
  <c r="A2" i="27" l="1"/>
  <c r="A2" i="26"/>
  <c r="A2" i="25"/>
  <c r="A2" i="24"/>
  <c r="C14" i="19" l="1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BU6" i="23" l="1"/>
  <c r="BU23" i="23"/>
  <c r="BU27" i="23"/>
  <c r="BU31" i="23"/>
  <c r="BU35" i="23"/>
  <c r="BU39" i="23"/>
  <c r="BU43" i="23"/>
  <c r="BU47" i="23"/>
  <c r="BU51" i="23"/>
  <c r="BU55" i="23"/>
  <c r="BU59" i="23"/>
  <c r="BU26" i="23"/>
  <c r="BU30" i="23"/>
  <c r="BU42" i="23"/>
  <c r="BU54" i="23"/>
  <c r="BU20" i="23"/>
  <c r="BU24" i="23"/>
  <c r="BU28" i="23"/>
  <c r="BU32" i="23"/>
  <c r="BU36" i="23"/>
  <c r="BU40" i="23"/>
  <c r="BU44" i="23"/>
  <c r="BU48" i="23"/>
  <c r="BU52" i="23"/>
  <c r="BU56" i="23"/>
  <c r="BU60" i="23"/>
  <c r="BU57" i="23"/>
  <c r="BU22" i="23"/>
  <c r="BU34" i="23"/>
  <c r="BU46" i="23"/>
  <c r="BU58" i="23"/>
  <c r="BU21" i="23"/>
  <c r="BU25" i="23"/>
  <c r="BU29" i="23"/>
  <c r="BU33" i="23"/>
  <c r="BU37" i="23"/>
  <c r="BU41" i="23"/>
  <c r="BU45" i="23"/>
  <c r="BU49" i="23"/>
  <c r="BU53" i="23"/>
  <c r="BU5" i="23"/>
  <c r="BU38" i="23"/>
  <c r="BU50" i="23"/>
  <c r="A2" i="16"/>
  <c r="A2" i="13"/>
  <c r="A2" i="11"/>
  <c r="A2" i="6"/>
  <c r="A2" i="4"/>
  <c r="A2" i="5"/>
  <c r="A2" i="3"/>
  <c r="AM16" i="22"/>
  <c r="AN16" i="22"/>
  <c r="AM17" i="22"/>
  <c r="AN17" i="22"/>
  <c r="AM18" i="22"/>
  <c r="AN18" i="22"/>
  <c r="AM19" i="22"/>
  <c r="AN19" i="22"/>
  <c r="AO19" i="22"/>
  <c r="AP19" i="22"/>
  <c r="AQ19" i="22"/>
  <c r="AR19" i="22"/>
  <c r="AS19" i="22"/>
  <c r="AT19" i="22"/>
  <c r="AU19" i="22"/>
  <c r="AV19" i="22"/>
  <c r="AW19" i="22"/>
  <c r="AM20" i="22"/>
  <c r="AN20" i="22"/>
  <c r="AO20" i="22"/>
  <c r="AP20" i="22"/>
  <c r="AQ20" i="22"/>
  <c r="AR20" i="22"/>
  <c r="AS20" i="22"/>
  <c r="AT20" i="22"/>
  <c r="AU20" i="22"/>
  <c r="AV20" i="22"/>
  <c r="AW20" i="22"/>
  <c r="C19" i="22"/>
  <c r="C20" i="22"/>
  <c r="C21" i="22"/>
  <c r="C22" i="22"/>
  <c r="C23" i="22"/>
  <c r="C24" i="22"/>
  <c r="AG21" i="22"/>
  <c r="AH21" i="22"/>
  <c r="AI21" i="22"/>
  <c r="AJ21" i="22"/>
  <c r="AK21" i="22"/>
  <c r="AL21" i="22"/>
  <c r="AM21" i="22"/>
  <c r="AN21" i="22"/>
  <c r="AO21" i="22"/>
  <c r="AP21" i="22"/>
  <c r="AQ21" i="22"/>
  <c r="AR21" i="22"/>
  <c r="AS21" i="22"/>
  <c r="AT21" i="22"/>
  <c r="AU21" i="22"/>
  <c r="AV21" i="22"/>
  <c r="AW21" i="22"/>
  <c r="AG22" i="22"/>
  <c r="AH22" i="22"/>
  <c r="AI22" i="22"/>
  <c r="AJ22" i="22"/>
  <c r="AK22" i="22"/>
  <c r="AL22" i="22"/>
  <c r="AM22" i="22"/>
  <c r="AN22" i="22"/>
  <c r="AO22" i="22"/>
  <c r="AP22" i="22"/>
  <c r="AQ22" i="22"/>
  <c r="AR22" i="22"/>
  <c r="AS22" i="22"/>
  <c r="AT22" i="22"/>
  <c r="AU22" i="22"/>
  <c r="AV22" i="22"/>
  <c r="AW22" i="22"/>
  <c r="AG23" i="22"/>
  <c r="AH23" i="22"/>
  <c r="AI23" i="22"/>
  <c r="AJ23" i="22"/>
  <c r="AK23" i="22"/>
  <c r="AL23" i="22"/>
  <c r="AM23" i="22"/>
  <c r="AN23" i="22"/>
  <c r="AO23" i="22"/>
  <c r="AP23" i="22"/>
  <c r="AQ23" i="22"/>
  <c r="AR23" i="22"/>
  <c r="AS23" i="22"/>
  <c r="AT23" i="22"/>
  <c r="AU23" i="22"/>
  <c r="AV23" i="22"/>
  <c r="AW23" i="22"/>
  <c r="AG24" i="22"/>
  <c r="AH24" i="22"/>
  <c r="AI24" i="22"/>
  <c r="AJ24" i="22"/>
  <c r="AK24" i="22"/>
  <c r="AL24" i="22"/>
  <c r="AM24" i="22"/>
  <c r="AN24" i="22"/>
  <c r="AO24" i="22"/>
  <c r="AP24" i="22"/>
  <c r="AQ24" i="22"/>
  <c r="AR24" i="22"/>
  <c r="AS24" i="22"/>
  <c r="AT24" i="22"/>
  <c r="AU24" i="22"/>
  <c r="AV24" i="22"/>
  <c r="AW24" i="22"/>
  <c r="AL35" i="22"/>
  <c r="AL36" i="22"/>
  <c r="C39" i="22"/>
  <c r="AM39" i="22"/>
  <c r="AN39" i="22"/>
  <c r="AO39" i="22"/>
  <c r="AP39" i="22"/>
  <c r="AQ39" i="22"/>
  <c r="AR39" i="22"/>
  <c r="AS39" i="22"/>
  <c r="AT39" i="22"/>
  <c r="AU39" i="22"/>
  <c r="AV39" i="22"/>
  <c r="AW39" i="22"/>
  <c r="C43" i="22"/>
  <c r="AA43" i="22"/>
  <c r="AB43" i="22"/>
  <c r="AC43" i="22"/>
  <c r="AD43" i="22"/>
  <c r="AE43" i="22"/>
  <c r="AF43" i="22"/>
  <c r="AG43" i="22"/>
  <c r="AH43" i="22"/>
  <c r="AI43" i="22"/>
  <c r="AJ43" i="22"/>
  <c r="AK43" i="22"/>
  <c r="AL43" i="22"/>
  <c r="AM43" i="22"/>
  <c r="AN43" i="22"/>
  <c r="AO43" i="22"/>
  <c r="AP43" i="22"/>
  <c r="AQ43" i="22"/>
  <c r="AR43" i="22"/>
  <c r="AS43" i="22"/>
  <c r="AT43" i="22"/>
  <c r="AU43" i="22"/>
  <c r="AV43" i="22"/>
  <c r="AW43" i="22"/>
  <c r="AY43" i="22"/>
  <c r="AZ43" i="22"/>
  <c r="BA43" i="22"/>
  <c r="BB43" i="22"/>
  <c r="BC43" i="22"/>
  <c r="BD43" i="22"/>
  <c r="D43" i="22"/>
  <c r="A43" i="22" s="1"/>
  <c r="D42" i="22"/>
  <c r="A42" i="22" s="1"/>
  <c r="D41" i="22"/>
  <c r="A41" i="22" s="1"/>
  <c r="D40" i="22"/>
  <c r="A40" i="22" s="1"/>
  <c r="D39" i="22"/>
  <c r="A39" i="22" s="1"/>
  <c r="A38" i="22"/>
  <c r="D37" i="22"/>
  <c r="A37" i="22" s="1"/>
  <c r="D36" i="22"/>
  <c r="A36" i="22" s="1"/>
  <c r="D35" i="22"/>
  <c r="A35" i="22" s="1"/>
  <c r="D34" i="22"/>
  <c r="A34" i="22" s="1"/>
  <c r="D33" i="22"/>
  <c r="A33" i="22" s="1"/>
  <c r="D32" i="22"/>
  <c r="A32" i="22" s="1"/>
  <c r="D31" i="22"/>
  <c r="A31" i="22" s="1"/>
  <c r="D30" i="22"/>
  <c r="A30" i="22" s="1"/>
  <c r="D29" i="22"/>
  <c r="A29" i="22" s="1"/>
  <c r="D28" i="22"/>
  <c r="A28" i="22" s="1"/>
  <c r="D27" i="22"/>
  <c r="A27" i="22" s="1"/>
  <c r="D26" i="22"/>
  <c r="A26" i="22" s="1"/>
  <c r="D25" i="22"/>
  <c r="A25" i="22" s="1"/>
  <c r="D24" i="22"/>
  <c r="A24" i="22" s="1"/>
  <c r="D23" i="22"/>
  <c r="A23" i="22" s="1"/>
  <c r="D22" i="22"/>
  <c r="A22" i="22" s="1"/>
  <c r="D21" i="22"/>
  <c r="A21" i="22" s="1"/>
  <c r="D20" i="22"/>
  <c r="A20" i="22" s="1"/>
  <c r="D19" i="22"/>
  <c r="A19" i="22" s="1"/>
  <c r="D18" i="22"/>
  <c r="A18" i="22" s="1"/>
  <c r="D16" i="22"/>
  <c r="A16" i="22" s="1"/>
  <c r="C2" i="22"/>
  <c r="C3" i="22"/>
  <c r="C4" i="22"/>
  <c r="C5" i="22"/>
  <c r="AO2" i="22"/>
  <c r="AP2" i="22"/>
  <c r="AQ2" i="22"/>
  <c r="AR2" i="22"/>
  <c r="AS2" i="22"/>
  <c r="AT2" i="22"/>
  <c r="AU2" i="22"/>
  <c r="AV2" i="22"/>
  <c r="AW2" i="22"/>
  <c r="AX2" i="22"/>
  <c r="AY2" i="22"/>
  <c r="AZ2" i="22"/>
  <c r="BA2" i="22"/>
  <c r="BB2" i="22"/>
  <c r="BC2" i="22"/>
  <c r="BD2" i="22"/>
  <c r="AO3" i="22"/>
  <c r="AP3" i="22"/>
  <c r="AQ3" i="22"/>
  <c r="AR3" i="22"/>
  <c r="AS3" i="22"/>
  <c r="AT3" i="22"/>
  <c r="AU3" i="22"/>
  <c r="AV3" i="22"/>
  <c r="AW3" i="22"/>
  <c r="AO4" i="22"/>
  <c r="AP4" i="22"/>
  <c r="AQ4" i="22"/>
  <c r="AR4" i="22"/>
  <c r="AS4" i="22"/>
  <c r="AT4" i="22"/>
  <c r="AU4" i="22"/>
  <c r="AV4" i="22"/>
  <c r="AW4" i="22"/>
  <c r="AO5" i="22"/>
  <c r="AP5" i="22"/>
  <c r="AQ5" i="22"/>
  <c r="AR5" i="22"/>
  <c r="AS5" i="22"/>
  <c r="AT5" i="22"/>
  <c r="AU5" i="22"/>
  <c r="AV5" i="22"/>
  <c r="AW5" i="22"/>
  <c r="AL7" i="22"/>
  <c r="AL8" i="22"/>
  <c r="AL9" i="22"/>
  <c r="AL13" i="22"/>
  <c r="AR10" i="22"/>
  <c r="AR11" i="22"/>
  <c r="AR12" i="22"/>
  <c r="AR13" i="22"/>
  <c r="AR14" i="22"/>
  <c r="AS14" i="22"/>
  <c r="AT14" i="22"/>
  <c r="AU14" i="22"/>
  <c r="AV14" i="22"/>
  <c r="AW14" i="22"/>
  <c r="C16" i="22"/>
  <c r="AO16" i="22"/>
  <c r="AP16" i="22"/>
  <c r="AQ16" i="22"/>
  <c r="AR16" i="22"/>
  <c r="AS16" i="22"/>
  <c r="AT16" i="22"/>
  <c r="AU16" i="22"/>
  <c r="AV16" i="22"/>
  <c r="AW16" i="22"/>
  <c r="C17" i="22"/>
  <c r="AO17" i="22"/>
  <c r="AP17" i="22"/>
  <c r="AQ17" i="22"/>
  <c r="AR17" i="22"/>
  <c r="AS17" i="22"/>
  <c r="AT17" i="22"/>
  <c r="AU17" i="22"/>
  <c r="AV17" i="22"/>
  <c r="AW17" i="22"/>
  <c r="C18" i="22"/>
  <c r="AO18" i="22"/>
  <c r="AP18" i="22"/>
  <c r="AQ18" i="22"/>
  <c r="AR18" i="22"/>
  <c r="AS18" i="22"/>
  <c r="AT18" i="22"/>
  <c r="AU18" i="22"/>
  <c r="AV18" i="22"/>
  <c r="AW18" i="22"/>
  <c r="AG2" i="22"/>
  <c r="AH2" i="22"/>
  <c r="AI2" i="22"/>
  <c r="AJ2" i="22"/>
  <c r="AK2" i="22"/>
  <c r="AL2" i="22"/>
  <c r="AM2" i="22"/>
  <c r="AN2" i="22"/>
  <c r="AH3" i="22"/>
  <c r="AI3" i="22"/>
  <c r="AJ3" i="22"/>
  <c r="AK3" i="22"/>
  <c r="AL3" i="22"/>
  <c r="AM3" i="22"/>
  <c r="AN3" i="22"/>
  <c r="AA3" i="22"/>
  <c r="AB3" i="22"/>
  <c r="AC3" i="22"/>
  <c r="AD3" i="22"/>
  <c r="AE3" i="22"/>
  <c r="AF3" i="22"/>
  <c r="AA4" i="22"/>
  <c r="AB4" i="22"/>
  <c r="AC4" i="22"/>
  <c r="AD4" i="22"/>
  <c r="AE4" i="22"/>
  <c r="AF4" i="22"/>
  <c r="AG4" i="22"/>
  <c r="AH4" i="22"/>
  <c r="AI4" i="22"/>
  <c r="AJ4" i="22"/>
  <c r="AK4" i="22"/>
  <c r="AL4" i="22"/>
  <c r="AM4" i="22"/>
  <c r="AN4" i="22"/>
  <c r="AA5" i="22"/>
  <c r="AB5" i="22"/>
  <c r="AC5" i="22"/>
  <c r="AD5" i="22"/>
  <c r="AE5" i="22"/>
  <c r="AF5" i="22"/>
  <c r="AG5" i="22"/>
  <c r="AH5" i="22"/>
  <c r="AI5" i="22"/>
  <c r="AJ5" i="22"/>
  <c r="AK5" i="22"/>
  <c r="AL5" i="22"/>
  <c r="AM5" i="22"/>
  <c r="AN5" i="22"/>
  <c r="AG3" i="22"/>
  <c r="D5" i="22"/>
  <c r="A5" i="22" s="1"/>
  <c r="D4" i="22"/>
  <c r="A4" i="22" s="1"/>
  <c r="D3" i="22"/>
  <c r="A3" i="22" s="1"/>
  <c r="D2" i="22"/>
  <c r="A2" i="22" s="1"/>
  <c r="V5" i="23" l="1"/>
  <c r="G5" i="23"/>
  <c r="O5" i="23"/>
  <c r="W5" i="23"/>
  <c r="AE5" i="23"/>
  <c r="AM5" i="23"/>
  <c r="AU5" i="23"/>
  <c r="BC5" i="23"/>
  <c r="G4" i="23"/>
  <c r="O4" i="23"/>
  <c r="W4" i="23"/>
  <c r="AE4" i="23"/>
  <c r="AM4" i="23"/>
  <c r="AU4" i="23"/>
  <c r="BC4" i="23"/>
  <c r="AF4" i="23"/>
  <c r="AV4" i="23"/>
  <c r="I5" i="23"/>
  <c r="Y5" i="23"/>
  <c r="AO5" i="23"/>
  <c r="AW5" i="23"/>
  <c r="I4" i="23"/>
  <c r="Y4" i="23"/>
  <c r="AG4" i="23"/>
  <c r="AW4" i="23"/>
  <c r="AZ5" i="23"/>
  <c r="AB4" i="23"/>
  <c r="AJ4" i="23"/>
  <c r="M5" i="23"/>
  <c r="AS5" i="23"/>
  <c r="AK4" i="23"/>
  <c r="AD5" i="23"/>
  <c r="N4" i="23"/>
  <c r="AL4" i="23"/>
  <c r="AT4" i="23"/>
  <c r="H5" i="23"/>
  <c r="P5" i="23"/>
  <c r="X5" i="23"/>
  <c r="AF5" i="23"/>
  <c r="AN5" i="23"/>
  <c r="AV5" i="23"/>
  <c r="BD5" i="23"/>
  <c r="H4" i="23"/>
  <c r="P4" i="23"/>
  <c r="X4" i="23"/>
  <c r="AN4" i="23"/>
  <c r="BD4" i="23"/>
  <c r="Q5" i="23"/>
  <c r="AG5" i="23"/>
  <c r="BE5" i="23"/>
  <c r="Q4" i="23"/>
  <c r="AO4" i="23"/>
  <c r="BE4" i="23"/>
  <c r="L4" i="23"/>
  <c r="AZ4" i="23"/>
  <c r="AC5" i="23"/>
  <c r="M4" i="23"/>
  <c r="AS4" i="23"/>
  <c r="F5" i="23"/>
  <c r="AT5" i="23"/>
  <c r="V4" i="23"/>
  <c r="BB4" i="23"/>
  <c r="AL5" i="23"/>
  <c r="J5" i="23"/>
  <c r="R5" i="23"/>
  <c r="Z5" i="23"/>
  <c r="AH5" i="23"/>
  <c r="AP5" i="23"/>
  <c r="AX5" i="23"/>
  <c r="BF5" i="23"/>
  <c r="J4" i="23"/>
  <c r="R4" i="23"/>
  <c r="Z4" i="23"/>
  <c r="AH4" i="23"/>
  <c r="AP4" i="23"/>
  <c r="AX4" i="23"/>
  <c r="BF4" i="23"/>
  <c r="L5" i="23"/>
  <c r="AB5" i="23"/>
  <c r="AR5" i="23"/>
  <c r="T4" i="23"/>
  <c r="AR4" i="23"/>
  <c r="AK5" i="23"/>
  <c r="U4" i="23"/>
  <c r="BA4" i="23"/>
  <c r="N5" i="23"/>
  <c r="BB5" i="23"/>
  <c r="AD4" i="23"/>
  <c r="K5" i="23"/>
  <c r="S5" i="23"/>
  <c r="AA5" i="23"/>
  <c r="AI5" i="23"/>
  <c r="AQ5" i="23"/>
  <c r="AY5" i="23"/>
  <c r="BG5" i="23"/>
  <c r="K4" i="23"/>
  <c r="S4" i="23"/>
  <c r="AA4" i="23"/>
  <c r="AI4" i="23"/>
  <c r="AQ4" i="23"/>
  <c r="AY4" i="23"/>
  <c r="BG4" i="23"/>
  <c r="T5" i="23"/>
  <c r="AJ5" i="23"/>
  <c r="U5" i="23"/>
  <c r="BA5" i="23"/>
  <c r="AC4" i="23"/>
  <c r="F4" i="23"/>
  <c r="F3" i="23"/>
  <c r="J3" i="23"/>
  <c r="N3" i="23"/>
  <c r="R3" i="23"/>
  <c r="V3" i="23"/>
  <c r="Z3" i="23"/>
  <c r="AD3" i="23"/>
  <c r="AH3" i="23"/>
  <c r="AL3" i="23"/>
  <c r="AP3" i="23"/>
  <c r="AT3" i="23"/>
  <c r="AX3" i="23"/>
  <c r="BB3" i="23"/>
  <c r="BF3" i="23"/>
  <c r="G3" i="23"/>
  <c r="K3" i="23"/>
  <c r="O3" i="23"/>
  <c r="S3" i="23"/>
  <c r="W3" i="23"/>
  <c r="AA3" i="23"/>
  <c r="AE3" i="23"/>
  <c r="AI3" i="23"/>
  <c r="AM3" i="23"/>
  <c r="AQ3" i="23"/>
  <c r="AU3" i="23"/>
  <c r="AY3" i="23"/>
  <c r="BC3" i="23"/>
  <c r="BG3" i="23"/>
  <c r="H3" i="23"/>
  <c r="L3" i="23"/>
  <c r="P3" i="23"/>
  <c r="T3" i="23"/>
  <c r="X3" i="23"/>
  <c r="AB3" i="23"/>
  <c r="AF3" i="23"/>
  <c r="AJ3" i="23"/>
  <c r="AN3" i="23"/>
  <c r="AR3" i="23"/>
  <c r="AV3" i="23"/>
  <c r="AZ3" i="23"/>
  <c r="BD3" i="23"/>
  <c r="I3" i="23"/>
  <c r="M3" i="23"/>
  <c r="Q3" i="23"/>
  <c r="U3" i="23"/>
  <c r="Y3" i="23"/>
  <c r="AC3" i="23"/>
  <c r="AG3" i="23"/>
  <c r="AK3" i="23"/>
  <c r="AO3" i="23"/>
  <c r="AS3" i="23"/>
  <c r="AW3" i="23"/>
  <c r="BA3" i="23"/>
  <c r="BE3" i="23"/>
</calcChain>
</file>

<file path=xl/sharedStrings.xml><?xml version="1.0" encoding="utf-8"?>
<sst xmlns="http://schemas.openxmlformats.org/spreadsheetml/2006/main" count="4824" uniqueCount="430">
  <si>
    <t>NombreKit</t>
  </si>
  <si>
    <t>PE2</t>
  </si>
  <si>
    <t>PN1KIT</t>
  </si>
  <si>
    <t>PN2KIT</t>
  </si>
  <si>
    <t>PRKIT</t>
  </si>
  <si>
    <t>PRItem1</t>
  </si>
  <si>
    <t>PNItem1</t>
  </si>
  <si>
    <t>DesItem1</t>
  </si>
  <si>
    <t>QtyItem1</t>
  </si>
  <si>
    <t>UniItem1</t>
  </si>
  <si>
    <t>CMItem1</t>
  </si>
  <si>
    <t>PRItem2</t>
  </si>
  <si>
    <t>PRItem3</t>
  </si>
  <si>
    <t>PRItem4</t>
  </si>
  <si>
    <t>PRItem5</t>
  </si>
  <si>
    <t>PRItem6</t>
  </si>
  <si>
    <t>PRItem7</t>
  </si>
  <si>
    <t>PNItem2</t>
  </si>
  <si>
    <t>PNItem3</t>
  </si>
  <si>
    <t>PNItem4</t>
  </si>
  <si>
    <t>PNItem5</t>
  </si>
  <si>
    <t>PNItem6</t>
  </si>
  <si>
    <t>PNItem7</t>
  </si>
  <si>
    <t>DesItem2</t>
  </si>
  <si>
    <t>DesItem3</t>
  </si>
  <si>
    <t>DesItem4</t>
  </si>
  <si>
    <t>DesItem5</t>
  </si>
  <si>
    <t>DesItem6</t>
  </si>
  <si>
    <t>DesItem7</t>
  </si>
  <si>
    <t>QtyItem2</t>
  </si>
  <si>
    <t>QtyItem3</t>
  </si>
  <si>
    <t>QtyItem4</t>
  </si>
  <si>
    <t>QtyItem5</t>
  </si>
  <si>
    <t>QtyItem6</t>
  </si>
  <si>
    <t>QtyItem7</t>
  </si>
  <si>
    <t>UniItem2</t>
  </si>
  <si>
    <t>UniItem3</t>
  </si>
  <si>
    <t>UniItem4</t>
  </si>
  <si>
    <t>UniItem5</t>
  </si>
  <si>
    <t>UniItem6</t>
  </si>
  <si>
    <t>UniItem7</t>
  </si>
  <si>
    <t>CMItem2</t>
  </si>
  <si>
    <t>CMItem3</t>
  </si>
  <si>
    <t>CMItem4</t>
  </si>
  <si>
    <t>CMItem5</t>
  </si>
  <si>
    <t>CMItem6</t>
  </si>
  <si>
    <t>CMItem7</t>
  </si>
  <si>
    <t>VO</t>
  </si>
  <si>
    <t>FILTRO ACEIT LONGL</t>
  </si>
  <si>
    <t>u</t>
  </si>
  <si>
    <t>FILTRO DE ACEITE</t>
  </si>
  <si>
    <t>ü</t>
  </si>
  <si>
    <t>FILTRO DE COMBUSTI</t>
  </si>
  <si>
    <t>L</t>
  </si>
  <si>
    <t>ACEIMOT VDS 4.5</t>
  </si>
  <si>
    <t>CCCKit</t>
  </si>
  <si>
    <t>OrdenProd</t>
  </si>
  <si>
    <t>Qty</t>
  </si>
  <si>
    <t>FILTRO SEPARADOR DE AGUA</t>
  </si>
  <si>
    <t>ACEIMOT VDS 4.5 19L</t>
  </si>
  <si>
    <t>FILTRO DE ACEITE STD</t>
  </si>
  <si>
    <t>FILTRO DE PETROLEO</t>
  </si>
  <si>
    <t>ACEIMOT VDS 4.5 208L</t>
  </si>
  <si>
    <t>FILTRO DE COMBUSTIBLE</t>
  </si>
  <si>
    <t>ACEITE DE MOTOR VDS 4.5</t>
  </si>
  <si>
    <t>gl</t>
  </si>
  <si>
    <t xml:space="preserve"> </t>
  </si>
  <si>
    <t>KAC GCXMR BOM4F 2B</t>
  </si>
  <si>
    <t>PE6</t>
  </si>
  <si>
    <t>MK</t>
  </si>
  <si>
    <t>7005-2020N30</t>
  </si>
  <si>
    <t>FILTRO RACOR</t>
  </si>
  <si>
    <t>9853-15W40PAIL</t>
  </si>
  <si>
    <t>ACE ULTIMATE 15W40</t>
  </si>
  <si>
    <t>PRItem8</t>
  </si>
  <si>
    <t>PNItem8</t>
  </si>
  <si>
    <t>DesItem8</t>
  </si>
  <si>
    <t>QtyItem8</t>
  </si>
  <si>
    <t>UniItem8</t>
  </si>
  <si>
    <t>CMItem8</t>
  </si>
  <si>
    <t>KMTO GL L150 FG 3B</t>
  </si>
  <si>
    <t>PE1</t>
  </si>
  <si>
    <t>VOE</t>
  </si>
  <si>
    <t>Conjunto</t>
  </si>
  <si>
    <t>2051Box</t>
  </si>
  <si>
    <t>2055Box</t>
  </si>
  <si>
    <t>2065Box</t>
  </si>
  <si>
    <t>2067Box</t>
  </si>
  <si>
    <t>2053Box</t>
  </si>
  <si>
    <t>6186Box</t>
  </si>
  <si>
    <t>1251Box</t>
  </si>
  <si>
    <t>9853-15W40DRUM</t>
  </si>
  <si>
    <t>RM</t>
  </si>
  <si>
    <t>K VDS45 GL D12D 2B</t>
  </si>
  <si>
    <t>2063Boxl</t>
  </si>
  <si>
    <t>2048Boxl</t>
  </si>
  <si>
    <t>6184Box</t>
  </si>
  <si>
    <t>6188Box</t>
  </si>
  <si>
    <t>1253Box</t>
  </si>
  <si>
    <t>1255Box</t>
  </si>
  <si>
    <t>1257Box</t>
  </si>
  <si>
    <t>KFILTCARG L110F 2B</t>
  </si>
  <si>
    <t>KFILT RETROEXCA 1B</t>
  </si>
  <si>
    <t>KFILT RODILL AC 1B</t>
  </si>
  <si>
    <t>1259Box</t>
  </si>
  <si>
    <t>KFI L150E VDS45 2B</t>
  </si>
  <si>
    <t>1264Box</t>
  </si>
  <si>
    <t>1261Box</t>
  </si>
  <si>
    <t>D13A-FHFM VDS45 2B</t>
  </si>
  <si>
    <t>KVDS45GL FHD12A 2B</t>
  </si>
  <si>
    <t>K VDS45 NL10/12 2B</t>
  </si>
  <si>
    <t>2057Box</t>
  </si>
  <si>
    <t>2059Box</t>
  </si>
  <si>
    <t>2061Box</t>
  </si>
  <si>
    <t>1979Box</t>
  </si>
  <si>
    <t xml:space="preserve">       </t>
  </si>
  <si>
    <t>1266Box</t>
  </si>
  <si>
    <t>PE120001266</t>
  </si>
  <si>
    <t>PE7</t>
  </si>
  <si>
    <t>ND</t>
  </si>
  <si>
    <t>166959Z01D</t>
  </si>
  <si>
    <t>1238Box</t>
  </si>
  <si>
    <t>FILTRO</t>
  </si>
  <si>
    <t>ACEI MOT VDS4 19L</t>
  </si>
  <si>
    <t>PE4</t>
  </si>
  <si>
    <t>VOP</t>
  </si>
  <si>
    <t>FILTRO SEP AGUA</t>
  </si>
  <si>
    <t>ACEI MOT VDS45 19L</t>
  </si>
  <si>
    <t>FILTRO COMBUSTIBLE</t>
  </si>
  <si>
    <t>4106Box</t>
  </si>
  <si>
    <t>4101Box</t>
  </si>
  <si>
    <t>4103Box</t>
  </si>
  <si>
    <t>D13A-FHFM VDS45 1C</t>
  </si>
  <si>
    <t>D11A-FM11 VDS45 1C</t>
  </si>
  <si>
    <t>D11A-B11R VDS45 1C</t>
  </si>
  <si>
    <t>D12D-B12R VDS45 1C</t>
  </si>
  <si>
    <t>CANGURO VOLVO</t>
  </si>
  <si>
    <t>Prx</t>
  </si>
  <si>
    <t>PN</t>
  </si>
  <si>
    <t>Descripción</t>
  </si>
  <si>
    <t>Tipo</t>
  </si>
  <si>
    <t>Brand</t>
  </si>
  <si>
    <t>Detalle</t>
  </si>
  <si>
    <t>20001229</t>
  </si>
  <si>
    <t>K FILT CR 150FGH N</t>
  </si>
  <si>
    <t>Solo Filtros</t>
  </si>
  <si>
    <t>VCE</t>
  </si>
  <si>
    <t>-</t>
  </si>
  <si>
    <t>20001232</t>
  </si>
  <si>
    <t>K FLT 110F 120EF N</t>
  </si>
  <si>
    <t>20001234</t>
  </si>
  <si>
    <t>K FILT RETROEXCV N</t>
  </si>
  <si>
    <t>20001236</t>
  </si>
  <si>
    <t>K FILTR RODILLOS N</t>
  </si>
  <si>
    <t>20001238</t>
  </si>
  <si>
    <t>KMTO GL150 S800 3B</t>
  </si>
  <si>
    <t>Inc. Aceite</t>
  </si>
  <si>
    <t>3 Bombonas</t>
  </si>
  <si>
    <t>20001251</t>
  </si>
  <si>
    <t>20001253</t>
  </si>
  <si>
    <t>2 Bombonas</t>
  </si>
  <si>
    <t>20001255</t>
  </si>
  <si>
    <t>1 Bombona</t>
  </si>
  <si>
    <t>20001257</t>
  </si>
  <si>
    <t>20001259</t>
  </si>
  <si>
    <t>K MTO GL 150C D 2B</t>
  </si>
  <si>
    <t>20001261</t>
  </si>
  <si>
    <t>20001264</t>
  </si>
  <si>
    <t>20001266</t>
  </si>
  <si>
    <t>KMTO L150 CLFGH 1C</t>
  </si>
  <si>
    <t>1 Cilindro</t>
  </si>
  <si>
    <t>20001971</t>
  </si>
  <si>
    <t>K.SERV FILTRO CM N</t>
  </si>
  <si>
    <t>Volvo</t>
  </si>
  <si>
    <t>20001973</t>
  </si>
  <si>
    <t>K.SS FILTRO D11A N</t>
  </si>
  <si>
    <t>20001974</t>
  </si>
  <si>
    <t>20001975</t>
  </si>
  <si>
    <t>K.SS FILTR B270F N</t>
  </si>
  <si>
    <t>20001976</t>
  </si>
  <si>
    <t>K.SS FILTRO D12A N</t>
  </si>
  <si>
    <t>20001979</t>
  </si>
  <si>
    <t>K FLTA B270F 1B+2G</t>
  </si>
  <si>
    <t>1 Bombona + 2 Galonera</t>
  </si>
  <si>
    <t>20002044</t>
  </si>
  <si>
    <t>K.SERV FILTRO FE N</t>
  </si>
  <si>
    <t>20002046</t>
  </si>
  <si>
    <t>K FLT B270FVM V1 N</t>
  </si>
  <si>
    <t>20002047</t>
  </si>
  <si>
    <t>20002048</t>
  </si>
  <si>
    <t>K FLTA TRUCK 1B+2G</t>
  </si>
  <si>
    <t>20002049</t>
  </si>
  <si>
    <t>K FLT B270FVM V2 N</t>
  </si>
  <si>
    <t>20002051</t>
  </si>
  <si>
    <t>20002053</t>
  </si>
  <si>
    <t>20002055</t>
  </si>
  <si>
    <t>D11A-FM11 VDS45 2B</t>
  </si>
  <si>
    <t>20002057</t>
  </si>
  <si>
    <t>20002059</t>
  </si>
  <si>
    <t>20002061</t>
  </si>
  <si>
    <t>20002063</t>
  </si>
  <si>
    <t>20002065</t>
  </si>
  <si>
    <t>20002067</t>
  </si>
  <si>
    <t>20004101</t>
  </si>
  <si>
    <t>KMTO GLVOP D5D7 1B</t>
  </si>
  <si>
    <t>Penta</t>
  </si>
  <si>
    <t>20004103</t>
  </si>
  <si>
    <t>KMTO GL VOP D13 2B</t>
  </si>
  <si>
    <t>20004106</t>
  </si>
  <si>
    <t>KMTO GL VOP D16 3B</t>
  </si>
  <si>
    <t>Mack</t>
  </si>
  <si>
    <t>20006184</t>
  </si>
  <si>
    <t>K ACEIT CXN MR6 2B</t>
  </si>
  <si>
    <t>20006186</t>
  </si>
  <si>
    <t>20006188</t>
  </si>
  <si>
    <t>KFLT BOM L120EF 1C</t>
  </si>
  <si>
    <t>20007101</t>
  </si>
  <si>
    <t>K FILT UD TRUCKS N</t>
  </si>
  <si>
    <t>UD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</si>
  <si>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</si>
  <si>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</si>
  <si>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</si>
  <si>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</si>
  <si>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</si>
  <si>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</si>
  <si>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</si>
  <si>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</si>
  <si>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</si>
  <si>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</si>
  <si>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</si>
  <si>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</si>
  <si>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</si>
  <si>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</si>
  <si>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</si>
  <si>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</si>
  <si>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</si>
  <si>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</si>
  <si>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</si>
  <si>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</si>
  <si>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</si>
  <si>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</si>
  <si>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</si>
  <si>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</si>
  <si>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</si>
  <si>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</si>
  <si>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</si>
  <si>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</si>
  <si>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</si>
  <si>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</si>
  <si>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</si>
  <si>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</si>
  <si>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</si>
  <si>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</si>
  <si>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</si>
  <si>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</si>
  <si>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</si>
  <si>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</si>
  <si>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</si>
  <si>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</si>
  <si>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</si>
  <si>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PE120001238</t>
  </si>
  <si>
    <t>PE120001251</t>
  </si>
  <si>
    <t>PE120001253</t>
  </si>
  <si>
    <t>PE120001255</t>
  </si>
  <si>
    <t>PE120001257</t>
  </si>
  <si>
    <t>PE120001259</t>
  </si>
  <si>
    <t>PE120001261</t>
  </si>
  <si>
    <t>PE120001264</t>
  </si>
  <si>
    <t>PE220001973</t>
  </si>
  <si>
    <t>VolvoKitA</t>
  </si>
  <si>
    <t>VolvoFiltro</t>
  </si>
  <si>
    <t>MackFiltro</t>
  </si>
  <si>
    <t>MackKitA</t>
  </si>
  <si>
    <t>VCEKitA</t>
  </si>
  <si>
    <t>VCEFiltro</t>
  </si>
  <si>
    <t>UDFiltro</t>
  </si>
  <si>
    <t>PentaKitA</t>
  </si>
  <si>
    <t>HOJA</t>
  </si>
  <si>
    <t>Hoja</t>
  </si>
  <si>
    <t>CC</t>
  </si>
  <si>
    <t>PE620006186</t>
  </si>
  <si>
    <t>PE220002051</t>
  </si>
  <si>
    <t>PE220002055</t>
  </si>
  <si>
    <t>PE220002065</t>
  </si>
  <si>
    <t>PE220002053</t>
  </si>
  <si>
    <t>PE220002067</t>
  </si>
  <si>
    <t>PE220002063</t>
  </si>
  <si>
    <t>PE420004101</t>
  </si>
  <si>
    <t>PE220001979</t>
  </si>
  <si>
    <t>PE220002048</t>
  </si>
  <si>
    <t>PE220002059</t>
  </si>
  <si>
    <t>N° ITEM2</t>
  </si>
  <si>
    <t>PE620006188</t>
  </si>
  <si>
    <t>2051Oil</t>
  </si>
  <si>
    <t>2055Oil</t>
  </si>
  <si>
    <t>2065Oil</t>
  </si>
  <si>
    <t>2067Oil</t>
  </si>
  <si>
    <t>2053Oil</t>
  </si>
  <si>
    <t>2057Oil</t>
  </si>
  <si>
    <t>PE220002057</t>
  </si>
  <si>
    <t>2059Oil</t>
  </si>
  <si>
    <t>2061Oil</t>
  </si>
  <si>
    <t>PE220002061</t>
  </si>
  <si>
    <t>1979Oil</t>
  </si>
  <si>
    <t>2063Oil</t>
  </si>
  <si>
    <t>2048Oil</t>
  </si>
  <si>
    <t>6184Oil</t>
  </si>
  <si>
    <t>PE620006184</t>
  </si>
  <si>
    <t>6186Oil</t>
  </si>
  <si>
    <t>6188Oil</t>
  </si>
  <si>
    <t>1251Oil</t>
  </si>
  <si>
    <t>1253Oil</t>
  </si>
  <si>
    <t>1255Oil</t>
  </si>
  <si>
    <t>1257Oil</t>
  </si>
  <si>
    <t>1259Oil</t>
  </si>
  <si>
    <t>1261Oil</t>
  </si>
  <si>
    <t>1264Oil</t>
  </si>
  <si>
    <t>1238Oil</t>
  </si>
  <si>
    <t>1266Oil</t>
  </si>
  <si>
    <t>4106Oil</t>
  </si>
  <si>
    <t>PE420004106</t>
  </si>
  <si>
    <t>4101Oil</t>
  </si>
  <si>
    <t>4103Oil</t>
  </si>
  <si>
    <t>PE420004103</t>
  </si>
  <si>
    <t>VolvoKitA3x2</t>
  </si>
  <si>
    <t>MackKitA3x2</t>
  </si>
  <si>
    <t>VCEKitA3x2</t>
  </si>
  <si>
    <t>PentaKitA3x2</t>
  </si>
  <si>
    <t>PE120001229</t>
  </si>
  <si>
    <t>PE120001232</t>
  </si>
  <si>
    <t>PE120001234</t>
  </si>
  <si>
    <t>PE120001236</t>
  </si>
  <si>
    <t>Cantidad</t>
  </si>
  <si>
    <t>Orden</t>
  </si>
  <si>
    <t>COND</t>
  </si>
  <si>
    <t>CA</t>
  </si>
  <si>
    <t>RESUMEN</t>
  </si>
  <si>
    <t>N° FOLDER</t>
  </si>
  <si>
    <t>Prioridad</t>
  </si>
  <si>
    <t>K FLT L120EF1G  1B</t>
  </si>
  <si>
    <t>K.SS FILTROS D11A</t>
  </si>
  <si>
    <t>K.FILTROS SER MK N</t>
  </si>
  <si>
    <t>PREFILTRO COMBUST</t>
  </si>
  <si>
    <t>FILTRO SEPAR AGUA</t>
  </si>
  <si>
    <t>ACEI MOT VDS45 1GL</t>
  </si>
  <si>
    <t>KIT DE FILTRO DE A</t>
  </si>
  <si>
    <t>KIT FILTRO COMBUS</t>
  </si>
  <si>
    <t xml:space="preserve">FILTRO </t>
  </si>
  <si>
    <t>ACEIMOT VDS 4.5 208 L</t>
  </si>
  <si>
    <t>FILTRO DE COMBUTI</t>
  </si>
  <si>
    <t>FILTR PRIMAR COMBU</t>
  </si>
  <si>
    <t>CANGURO MACK</t>
  </si>
  <si>
    <t>PE220001971</t>
  </si>
  <si>
    <t>PE220001974</t>
  </si>
  <si>
    <t>PE220001975</t>
  </si>
  <si>
    <t>PE220001976</t>
  </si>
  <si>
    <t>PE220002044</t>
  </si>
  <si>
    <t>PE220002046</t>
  </si>
  <si>
    <t>PE220002047</t>
  </si>
  <si>
    <t>PE220002049</t>
  </si>
  <si>
    <t>PE720007101</t>
  </si>
  <si>
    <t>PE620001971</t>
  </si>
  <si>
    <t xml:space="preserve">KMTO GL VOP D13 2B </t>
  </si>
  <si>
    <t xml:space="preserve">KMTO GL VOP D16 3B </t>
  </si>
  <si>
    <t>CLASE</t>
  </si>
  <si>
    <t>KIT</t>
  </si>
  <si>
    <t>DESCRIP KIT</t>
  </si>
  <si>
    <t>PREF</t>
  </si>
  <si>
    <t>DESCRIPCIÓN</t>
  </si>
  <si>
    <t>CANTIDAD</t>
  </si>
  <si>
    <t>ACE ULT 15W405 19L</t>
  </si>
  <si>
    <t>ACE ULT 15W405  208L</t>
  </si>
  <si>
    <t>VO21707133</t>
  </si>
  <si>
    <t>VO21707132</t>
  </si>
  <si>
    <t>VO22480372</t>
  </si>
  <si>
    <t>VO21380488</t>
  </si>
  <si>
    <t>PE220002050</t>
  </si>
  <si>
    <t>VO21380475</t>
  </si>
  <si>
    <t>VO21632237</t>
  </si>
  <si>
    <t>VO21707134</t>
  </si>
  <si>
    <t>VO20841523</t>
  </si>
  <si>
    <t>VO8159975</t>
  </si>
  <si>
    <t>VO20998367</t>
  </si>
  <si>
    <t>VO20998807</t>
  </si>
  <si>
    <t>VO20998805</t>
  </si>
  <si>
    <t>VO21380408</t>
  </si>
  <si>
    <t>VO22095097</t>
  </si>
  <si>
    <t>VO22752360</t>
  </si>
  <si>
    <t>VO8193841</t>
  </si>
  <si>
    <t>VO23068343</t>
  </si>
  <si>
    <t>VO23068344</t>
  </si>
  <si>
    <t>VO23068345</t>
  </si>
  <si>
    <t>VO466987</t>
  </si>
  <si>
    <t>VOE15126069</t>
  </si>
  <si>
    <t>VOE11110683</t>
  </si>
  <si>
    <t>VOE17457469</t>
  </si>
  <si>
    <t>VOE20805349</t>
  </si>
  <si>
    <t>VO11110668</t>
  </si>
  <si>
    <t>RM43919927</t>
  </si>
  <si>
    <t>RM43919935</t>
  </si>
  <si>
    <t>RM43919943</t>
  </si>
  <si>
    <t>ND5223273542</t>
  </si>
  <si>
    <t>ND166959Z01D</t>
  </si>
  <si>
    <t>ND5222677134</t>
  </si>
  <si>
    <t>MK21939298</t>
  </si>
  <si>
    <t>MK25502421</t>
  </si>
  <si>
    <t>PE62006050</t>
  </si>
  <si>
    <t>MK9853-15W40PAIL</t>
  </si>
  <si>
    <t>MK21707136</t>
  </si>
  <si>
    <t>MK21707135</t>
  </si>
  <si>
    <t>MK20972295</t>
  </si>
  <si>
    <t>MK7005-2020N30</t>
  </si>
  <si>
    <t>MK9853-15W40DRUM</t>
  </si>
  <si>
    <t>VO3831236</t>
  </si>
  <si>
    <t>VO3838852</t>
  </si>
  <si>
    <t>VOP21492771</t>
  </si>
  <si>
    <t>VOP3838854</t>
  </si>
  <si>
    <t>Suma de Cantidad</t>
  </si>
  <si>
    <t>N°</t>
  </si>
  <si>
    <t>Pf</t>
  </si>
  <si>
    <t>P/N Nuevo</t>
  </si>
  <si>
    <t/>
  </si>
  <si>
    <t>KIT BOMB L110/L120</t>
  </si>
  <si>
    <t>KIT DE FILTRO</t>
  </si>
  <si>
    <t>POLO VOLVO</t>
  </si>
  <si>
    <t>1267Box</t>
  </si>
  <si>
    <t xml:space="preserve">PE120001267 </t>
  </si>
  <si>
    <t>Total general</t>
  </si>
  <si>
    <t>(en blanco)</t>
  </si>
  <si>
    <t>PE120001268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</si>
</sst>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sz val="20"/>
      <color theme="1"/>
      <name val="Arial"/>
      <family val="2"/>
    </font>
    <font>
      <sz val="11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2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 style="thin">
        <color indexed="64"/>
      </left>
      <right/>
      <top style="thin">
        <color indexed="64"/>
      </top>
      <bottom style="medium">
        <color rgb="FFC00000"/>
      </bottom>
      <diagonal/>
    </border>
    <border>
      <left/>
      <right style="thin">
        <color indexed="64"/>
      </right>
      <top style="thin">
        <color indexed="64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999999"/>
      </left>
      <right/>
      <top style="thin">
        <color indexed="65"/>
      </top>
      <bottom/>
      <diagonal/>
    </border>
  </borders>
  <cellStyleXfs count="2">
    <xf numFmtId="0" fontId="0" fillId="0" borderId="0"/>
    <xf numFmtId="0" fontId="1" fillId="0" borderId="0"/>
  </cellStyleXfs>
  <cellXfs count="100">
    <xf numFmtId="0" fontId="0" fillId="0" borderId="0" xfId="0"/>
    <xf numFmtId="0" fontId="2" fillId="3" borderId="4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6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8" xfId="0" applyNumberFormat="1" applyFont="1" applyBorder="1" applyAlignment="1">
      <alignment horizontal="center"/>
    </xf>
    <xf numFmtId="0" fontId="5" fillId="0" borderId="6" xfId="0" applyNumberFormat="1" applyFont="1" applyBorder="1" applyAlignment="1">
      <alignment horizontal="center"/>
    </xf>
    <xf numFmtId="0" fontId="5" fillId="0" borderId="9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4" xfId="0" applyFont="1" applyBorder="1" applyAlignment="1">
      <alignment horizontal="center"/>
    </xf>
    <xf numFmtId="49" fontId="4" fillId="0" borderId="0" xfId="0" applyNumberFormat="1" applyFont="1" applyAlignment="1">
      <alignment horizontal="center"/>
    </xf>
    <xf numFmtId="0" fontId="0" fillId="0" borderId="5" xfId="0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0" borderId="0" xfId="0" applyFont="1"/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0" borderId="8" xfId="0" applyNumberFormat="1" applyFont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0" fillId="0" borderId="15" xfId="0" pivotButton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0" borderId="18" xfId="0" pivotButton="1" applyBorder="1" applyAlignment="1">
      <alignment horizontal="center" vertical="center"/>
    </xf>
    <xf numFmtId="49" fontId="2" fillId="3" borderId="5" xfId="0" applyNumberFormat="1" applyFont="1" applyFill="1" applyBorder="1" applyAlignment="1">
      <alignment horizontal="center" vertical="center"/>
    </xf>
    <xf numFmtId="49" fontId="2" fillId="3" borderId="6" xfId="0" applyNumberFormat="1" applyFont="1" applyFill="1" applyBorder="1" applyAlignment="1">
      <alignment horizontal="center" vertical="center"/>
    </xf>
    <xf numFmtId="49" fontId="2" fillId="4" borderId="6" xfId="0" applyNumberFormat="1" applyFont="1" applyFill="1" applyBorder="1" applyAlignment="1">
      <alignment horizontal="center" vertical="center"/>
    </xf>
    <xf numFmtId="49" fontId="0" fillId="2" borderId="6" xfId="0" applyNumberFormat="1" applyFill="1" applyBorder="1" applyAlignment="1">
      <alignment horizontal="center" vertical="center"/>
    </xf>
    <xf numFmtId="49" fontId="0" fillId="0" borderId="0" xfId="0" applyNumberFormat="1"/>
    <xf numFmtId="49" fontId="2" fillId="5" borderId="0" xfId="0" applyNumberFormat="1" applyFont="1" applyFill="1" applyBorder="1"/>
    <xf numFmtId="49" fontId="0" fillId="0" borderId="0" xfId="0" applyNumberFormat="1" applyFill="1" applyBorder="1"/>
    <xf numFmtId="49" fontId="0" fillId="0" borderId="1" xfId="0" applyNumberFormat="1" applyFill="1" applyBorder="1"/>
    <xf numFmtId="0" fontId="0" fillId="5" borderId="8" xfId="0" applyNumberFormat="1" applyFill="1" applyBorder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NumberFormat="1" applyBorder="1" applyAlignment="1">
      <alignment horizontal="center" vertical="center"/>
    </xf>
    <xf numFmtId="0" fontId="0" fillId="0" borderId="17" xfId="0" applyNumberForma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 wrapText="1"/>
    </xf>
    <xf numFmtId="0" fontId="11" fillId="0" borderId="20" xfId="0" applyFont="1" applyBorder="1" applyAlignment="1">
      <alignment horizontal="center" vertical="center" wrapText="1"/>
    </xf>
    <xf numFmtId="0" fontId="11" fillId="2" borderId="20" xfId="0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5" borderId="9" xfId="0" applyNumberFormat="1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13" fillId="0" borderId="8" xfId="0" applyNumberFormat="1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6" borderId="8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</cellXfs>
  <cellStyles count="2">
    <cellStyle name="Cancel" xfId="1" xr:uid="{00000000-0005-0000-0000-000000000000}"/>
    <cellStyle name="Normal" xfId="0" builtinId="0"/>
  </cellStyles>
  <dxfs count="48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CCFF"/>
      <color rgb="FFFFE1F0"/>
      <color rgb="FFFFFFC9"/>
      <color rgb="FFD5FFF7"/>
      <color rgb="FFFFFF8F"/>
      <color rgb="FFFFBDDE"/>
      <color rgb="FFFF99CC"/>
      <color rgb="FFAFFF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746760</xdr:colOff>
      <xdr:row>2</xdr:row>
      <xdr:rowOff>41910</xdr:rowOff>
    </xdr:from>
    <xdr:to>
      <xdr:col>64</xdr:col>
      <xdr:colOff>775335</xdr:colOff>
      <xdr:row>6</xdr:row>
      <xdr:rowOff>72390</xdr:rowOff>
    </xdr:to>
    <xdr:sp macro="[0]!GenLabe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9682340" y="232410"/>
          <a:ext cx="1598295" cy="769620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>
              <a:latin typeface="Arial" panose="020B0604020202020204" pitchFamily="34" charset="0"/>
              <a:cs typeface="Arial" panose="020B0604020202020204" pitchFamily="34" charset="0"/>
            </a:rPr>
            <a:t>GENERAR ETIQUETAS</a:t>
          </a:r>
        </a:p>
      </xdr:txBody>
    </xdr:sp>
    <xdr:clientData/>
  </xdr:twoCellAnchor>
  <xdr:twoCellAnchor>
    <xdr:from>
      <xdr:col>62</xdr:col>
      <xdr:colOff>676192</xdr:colOff>
      <xdr:row>7</xdr:row>
      <xdr:rowOff>37437</xdr:rowOff>
    </xdr:from>
    <xdr:to>
      <xdr:col>65</xdr:col>
      <xdr:colOff>60842</xdr:colOff>
      <xdr:row>10</xdr:row>
      <xdr:rowOff>129209</xdr:rowOff>
    </xdr:to>
    <xdr:sp macro="[0]!LimpiarData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9611772" y="1149957"/>
          <a:ext cx="1739230" cy="640412"/>
        </a:xfrm>
        <a:prstGeom prst="round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LIMPIAR HOJAS</a:t>
          </a:r>
        </a:p>
      </xdr:txBody>
    </xdr:sp>
    <xdr:clientData/>
  </xdr:twoCellAnchor>
  <xdr:twoCellAnchor>
    <xdr:from>
      <xdr:col>63</xdr:col>
      <xdr:colOff>142875</xdr:colOff>
      <xdr:row>12</xdr:row>
      <xdr:rowOff>66675</xdr:rowOff>
    </xdr:from>
    <xdr:to>
      <xdr:col>64</xdr:col>
      <xdr:colOff>704850</xdr:colOff>
      <xdr:row>16</xdr:row>
      <xdr:rowOff>57150</xdr:rowOff>
    </xdr:to>
    <xdr:sp macro="[0]!_xludf.SAV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7647800" y="2162175"/>
          <a:ext cx="1323975" cy="7524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000"/>
            <a:t>GUARDAR ARCHIVO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UL" refreshedDate="44235.388898958336" createdVersion="6" refreshedVersion="6" minRefreshableVersion="3" recordCount="16" xr:uid="{00000000-000A-0000-FFFF-FFFF1C000000}">
  <cacheSource type="worksheet">
    <worksheetSource name="EXTRACCION"/>
  </cacheSource>
  <cacheFields count="62">
    <cacheField name="CC" numFmtId="0">
      <sharedItems containsBlank="1" count="87">
        <s v="PE120001267 "/>
        <m/>
        <s v=""/>
        <s v="PE120001268"/>
        <s v="20001234" u="1"/>
        <s v="PE620006188" u="1"/>
        <s v="20002048" u="1"/>
        <s v="PE220002061" u="1"/>
        <s v="20002053" u="1"/>
        <s v="20006186" u="1"/>
        <s v="PE220001976" u="1"/>
        <s v="PE420004103" u="1"/>
        <s v="20001971" u="1"/>
        <s v="PE120001238" u="1"/>
        <s v="20001259" u="1"/>
        <s v="20001976" u="1"/>
        <s v="20002063" u="1"/>
        <s v="PE120001229" u="1"/>
        <s v="PE120001266" u="1"/>
        <s v="20001264" u="1"/>
        <s v="PE120001257" u="1"/>
        <s v="PE220002053" u="1"/>
        <s v="PE220002044" u="1"/>
        <s v="20001238" u="1"/>
        <s v="20002047" u="1"/>
        <s v="PE120001267" u="1"/>
        <s v="PE220002063" u="1"/>
        <s v="20002057" u="1"/>
        <s v="20001253" u="1"/>
        <s v="20001975" u="1"/>
        <s v="20002067" u="1"/>
        <s v="PE720007101" u="1"/>
        <s v="20001232" u="1"/>
        <s v="PE120001259" u="1"/>
        <s v="PE220002055" u="1"/>
        <s v="20002046" u="1"/>
        <s v="PE220001979" u="1"/>
        <s v="PE220002046" u="1"/>
        <s v="PE120001232" u="1"/>
        <s v="PE420004106" u="1"/>
        <s v="20007101" u="1"/>
        <s v="20002051" u="1"/>
        <s v="20006184" u="1"/>
        <s v="PE220002065" u="1"/>
        <s v="PE120001251" u="1"/>
        <s v="20001257" u="1"/>
        <s v="20001974" u="1"/>
        <s v="20002061" u="1"/>
        <s v="20004103" u="1"/>
        <s v="PE220001971" u="1"/>
        <s v="20001979" u="1"/>
        <s v="PE220002047" u="1"/>
        <s v="PE620006184" u="1"/>
        <s v="PE120001261" u="1"/>
        <s v="20001236" u="1"/>
        <s v="PE220002057" u="1"/>
        <s v="PE620001971" u="1"/>
        <s v="PE220002048" u="1"/>
        <s v="PE120001234" u="1"/>
        <s v="20002055" u="1"/>
        <s v="20006188" u="1"/>
        <s v="20001251" u="1"/>
        <s v="PE220002067" u="1"/>
        <s v="20001973" u="1"/>
        <s v="PE120001253" u="1"/>
        <s v="20002065" u="1"/>
        <s v="PE220001973" u="1"/>
        <s v="20001261" u="1"/>
        <s v="PE220002049" u="1"/>
        <s v="20001266" u="1"/>
        <s v="PE20001971" u="1"/>
        <s v="PE620006186" u="1"/>
        <s v="20002044" u="1"/>
        <s v="20002049" u="1"/>
        <s v="PE220002059" u="1"/>
        <s v="PE220001974" u="1"/>
        <s v="PE420004101" u="1"/>
        <s v="20002059" u="1"/>
        <s v="PE120001236" u="1"/>
        <s v="20001255" u="1"/>
        <s v="20004101" u="1"/>
        <s v="PE120001264" u="1"/>
        <s v="20004106" u="1"/>
        <s v="PE120001255" u="1"/>
        <s v="PE220002051" u="1"/>
        <s v="20001229" u="1"/>
        <s v="PE220001975" u="1"/>
      </sharedItems>
    </cacheField>
    <cacheField name="Orden" numFmtId="0">
      <sharedItems containsBlank="1" containsMixedTypes="1" containsNumber="1" containsInteger="1" minValue="3456" maxValue="2421320" count="353">
        <n v="91080"/>
        <m/>
        <s v=""/>
        <n v="58404" u="1"/>
        <n v="64794" u="1"/>
        <n v="14944" u="1"/>
        <n v="57785" u="1"/>
        <n v="59986" u="1"/>
        <n v="63394" u="1"/>
        <n v="67003" u="1"/>
        <n v="55462" u="1"/>
        <n v="55959" u="1"/>
        <n v="59154" u="1"/>
        <n v="60006" u="1"/>
        <n v="63414" u="1"/>
        <n v="65402" u="1"/>
        <n v="66617" u="1"/>
        <n v="55482" u="1"/>
        <n v="55979" u="1"/>
        <n v="58393" u="1"/>
        <n v="59174" u="1"/>
        <n v="67012" u="1"/>
        <n v="57774" u="1"/>
        <n v="63383" u="1"/>
        <n v="64590" u="1"/>
        <n v="64803" u="1"/>
        <n v="65442" u="1"/>
        <n v="66626" u="1"/>
        <n v="68756" u="1"/>
        <n v="59995" u="1"/>
        <n v="63403" u="1"/>
        <n v="67021" u="1"/>
        <n v="55471" u="1"/>
        <n v="55968" u="1"/>
        <n v="59163" u="1"/>
        <n v="63423" u="1"/>
        <n v="65411" u="1"/>
        <n v="65996" u="1"/>
        <n v="68765" u="1"/>
        <n v="58402" u="1"/>
        <n v="59183" u="1"/>
        <n v="64792" u="1"/>
        <n v="57783" u="1"/>
        <n v="63392" u="1"/>
        <n v="64812" u="1"/>
        <n v="66005" u="1"/>
        <n v="68774" u="1"/>
        <n v="55460" u="1"/>
        <n v="60004" u="1"/>
        <n v="63412" u="1"/>
        <n v="66613" u="1"/>
        <n v="68743" u="1"/>
        <n v="3459" u="1"/>
        <n v="55480" u="1"/>
        <n v="55977" u="1"/>
        <n v="59172" u="1"/>
        <n v="67008" u="1"/>
        <n v="57772" u="1"/>
        <n v="58411" u="1"/>
        <n v="64801" u="1"/>
        <n v="65440" u="1"/>
        <n v="66622" u="1"/>
        <n v="71876" u="1"/>
        <n v="59993" u="1"/>
        <n v="63401" u="1"/>
        <n v="65460" u="1"/>
        <n v="67017" u="1"/>
        <n v="55469" u="1"/>
        <n v="55966" u="1"/>
        <n v="59161" u="1"/>
        <n v="63421" u="1"/>
        <n v="65409" u="1"/>
        <n v="66631" u="1"/>
        <n v="68761" u="1"/>
        <n v="2421313" u="1"/>
        <n v="58400" u="1"/>
        <n v="59181" u="1"/>
        <n v="2421315" u="1"/>
        <n v="63390" u="1"/>
        <n v="64810" u="1"/>
        <n v="65449" u="1"/>
        <n v="66001" u="1"/>
        <n v="68770" u="1"/>
        <n v="2421317" u="1"/>
        <n v="55458" u="1"/>
        <n v="60002" u="1"/>
        <n v="63410" u="1"/>
        <n v="2421319" u="1"/>
        <n v="55478" u="1"/>
        <n v="55975" u="1"/>
        <n v="59170" u="1"/>
        <n v="67004" u="1"/>
        <n v="57770" u="1"/>
        <n v="58409" u="1"/>
        <n v="64799" u="1"/>
        <n v="65438" u="1"/>
        <n v="66618" u="1"/>
        <n v="57790" u="1"/>
        <n v="59991" u="1"/>
        <n v="63399" u="1"/>
        <n v="67013" u="1"/>
        <n v="55467" u="1"/>
        <n v="55964" u="1"/>
        <n v="59159" u="1"/>
        <n v="63419" u="1"/>
        <n v="65407" u="1"/>
        <n v="66627" u="1"/>
        <n v="68757" u="1"/>
        <n v="71881" u="1"/>
        <n v="58398" u="1"/>
        <n v="59179" u="1"/>
        <n v="67022" u="1"/>
        <n v="57779" u="1"/>
        <n v="63388" u="1"/>
        <n v="64808" u="1"/>
        <n v="65997" u="1"/>
        <n v="68766" u="1"/>
        <n v="60000" u="1"/>
        <n v="60923" u="1"/>
        <n v="63408" u="1"/>
        <n v="55476" u="1"/>
        <n v="55973" u="1"/>
        <n v="59168" u="1"/>
        <n v="66006" u="1"/>
        <n v="57768" u="1"/>
        <n v="58407" u="1"/>
        <n v="64797" u="1"/>
        <n v="65436" u="1"/>
        <n v="66614" u="1"/>
        <n v="68744" u="1"/>
        <n v="57788" u="1"/>
        <n v="59989" u="1"/>
        <n v="63397" u="1"/>
        <n v="64391" u="1"/>
        <n v="65456" u="1"/>
        <n v="67009" u="1"/>
        <n v="55465" u="1"/>
        <n v="55962" u="1"/>
        <n v="59157" u="1"/>
        <n v="63417" u="1"/>
        <n v="65405" u="1"/>
        <n v="66623" u="1"/>
        <n v="55485" u="1"/>
        <n v="58396" u="1"/>
        <n v="59177" u="1"/>
        <n v="67018" u="1"/>
        <n v="57777" u="1"/>
        <n v="63386" u="1"/>
        <n v="64806" u="1"/>
        <n v="66632" u="1"/>
        <n v="68762" u="1"/>
        <n v="59998" u="1"/>
        <n v="60921" u="1"/>
        <n v="63406" u="1"/>
        <n v="55474" u="1"/>
        <n v="55971" u="1"/>
        <n v="59166" u="1"/>
        <n v="64491" u="1"/>
        <n v="65414" u="1"/>
        <n v="66002" u="1"/>
        <n v="68771" u="1"/>
        <n v="58405" u="1"/>
        <n v="64795" u="1"/>
        <n v="57786" u="1"/>
        <n v="59987" u="1"/>
        <n v="63395" u="1"/>
        <n v="64389" u="1"/>
        <n v="65454" u="1"/>
        <n v="67005" u="1"/>
        <n v="55463" u="1"/>
        <n v="55960" u="1"/>
        <n v="59155" u="1"/>
        <n v="60007" u="1"/>
        <n v="63415" u="1"/>
        <n v="65403" u="1"/>
        <n v="66619" u="1"/>
        <n v="55483" u="1"/>
        <n v="55980" u="1"/>
        <n v="58394" u="1"/>
        <n v="59175" u="1"/>
        <n v="67014" u="1"/>
        <n v="3456" u="1"/>
        <n v="57775" u="1"/>
        <n v="63384" u="1"/>
        <n v="64804" u="1"/>
        <n v="65443" u="1"/>
        <n v="66628" u="1"/>
        <n v="68758" u="1"/>
        <n v="59996" u="1"/>
        <n v="63404" u="1"/>
        <n v="67023" u="1"/>
        <n v="55472" u="1"/>
        <n v="55969" u="1"/>
        <n v="59164" u="1"/>
        <n v="65998" u="1"/>
        <n v="68767" u="1"/>
        <n v="58403" u="1"/>
        <n v="59184" u="1"/>
        <n v="64793" u="1"/>
        <n v="57784" u="1"/>
        <n v="63393" u="1"/>
        <n v="64813" u="1"/>
        <n v="55461" u="1"/>
        <n v="55958" u="1"/>
        <n v="59153" u="1"/>
        <n v="60005" u="1"/>
        <n v="63413" u="1"/>
        <n v="65401" u="1"/>
        <n v="66615" u="1"/>
        <n v="68745" u="1"/>
        <n v="55978" u="1"/>
        <n v="58392" u="1"/>
        <n v="59173" u="1"/>
        <n v="67010" u="1"/>
        <n v="57773" u="1"/>
        <n v="58412" u="1"/>
        <n v="64802" u="1"/>
        <n v="65441" u="1"/>
        <n v="66624" u="1"/>
        <n v="68754" u="1"/>
        <n v="59994" u="1"/>
        <n v="63402" u="1"/>
        <n v="67019" u="1"/>
        <n v="2421312" u="1"/>
        <n v="55470" u="1"/>
        <n v="55967" u="1"/>
        <n v="59162" u="1"/>
        <n v="63422" u="1"/>
        <n v="65410" u="1"/>
        <n v="66633" u="1"/>
        <n v="68763" u="1"/>
        <n v="2421314" u="1"/>
        <n v="58401" u="1"/>
        <n v="59182" u="1"/>
        <n v="64791" u="1"/>
        <n v="67312" u="1"/>
        <n v="2421316" u="1"/>
        <n v="57782" u="1"/>
        <n v="63391" u="1"/>
        <n v="64811" u="1"/>
        <n v="65450" u="1"/>
        <n v="66003" u="1"/>
        <n v="68772" u="1"/>
        <n v="2421318" u="1"/>
        <n v="55459" u="1"/>
        <n v="60003" u="1"/>
        <n v="63411" u="1"/>
        <n v="68741" u="1"/>
        <n v="2421320" u="1"/>
        <n v="55479" u="1"/>
        <n v="55976" u="1"/>
        <n v="59171" u="1"/>
        <n v="67006" u="1"/>
        <n v="57771" u="1"/>
        <n v="58410" u="1"/>
        <n v="64800" u="1"/>
        <n v="65439" u="1"/>
        <n v="66620" u="1"/>
        <n v="3457" u="1"/>
        <n v="59992" u="1"/>
        <n v="63400" u="1"/>
        <n v="65459" u="1"/>
        <n v="67015" u="1"/>
        <n v="55468" u="1"/>
        <n v="55965" u="1"/>
        <n v="59160" u="1"/>
        <n v="63420" u="1"/>
        <n v="65408" u="1"/>
        <n v="66629" u="1"/>
        <n v="68759" u="1"/>
        <n v="58399" u="1"/>
        <n v="59180" u="1"/>
        <n v="64789" u="1"/>
        <n v="67024" u="1"/>
        <n v="57780" u="1"/>
        <n v="63389" u="1"/>
        <n v="64809" u="1"/>
        <n v="65999" u="1"/>
        <n v="68768" u="1"/>
        <n v="60001" u="1"/>
        <n v="63409" u="1"/>
        <n v="55477" u="1"/>
        <n v="55974" u="1"/>
        <n v="59169" u="1"/>
        <n v="57769" u="1"/>
        <n v="64798" u="1"/>
        <n v="65437" u="1"/>
        <n v="66616" u="1"/>
        <n v="57789" u="1"/>
        <n v="63398" u="1"/>
        <n v="64392" u="1"/>
        <n v="67011" u="1"/>
        <n v="55466" u="1"/>
        <n v="55963" u="1"/>
        <n v="59158" u="1"/>
        <n v="63418" u="1"/>
        <n v="65406" u="1"/>
        <n v="66625" u="1"/>
        <n v="68755" u="1"/>
        <n v="55486" u="1"/>
        <n v="58397" u="1"/>
        <n v="59178" u="1"/>
        <n v="67020" u="1"/>
        <n v="57778" u="1"/>
        <n v="63387" u="1"/>
        <n v="64807" u="1"/>
        <n v="65995" u="1"/>
        <n v="68764" u="1"/>
        <n v="59999" u="1"/>
        <n v="60922" u="1"/>
        <n v="63407" u="1"/>
        <n v="67313" u="1"/>
        <n v="55475" u="1"/>
        <n v="55972" u="1"/>
        <n v="59167" u="1"/>
        <n v="66004" u="1"/>
        <n v="68773" u="1"/>
        <n v="57767" u="1"/>
        <n v="58406" u="1"/>
        <n v="64796" u="1"/>
        <n v="68742" u="1"/>
        <n v="57787" u="1"/>
        <n v="59988" u="1"/>
        <n v="63396" u="1"/>
        <n v="64390" u="1"/>
        <n v="67007" u="1"/>
        <n v="3458" u="1"/>
        <n v="55464" u="1"/>
        <n v="55961" u="1"/>
        <n v="59156" u="1"/>
        <n v="63416" u="1"/>
        <n v="65404" u="1"/>
        <n v="66621" u="1"/>
        <n v="71875" u="1"/>
        <n v="58395" u="1"/>
        <n v="59176" u="1"/>
        <n v="67016" u="1"/>
        <n v="57776" u="1"/>
        <n v="63385" u="1"/>
        <n v="64805" u="1"/>
        <n v="65444" u="1"/>
        <n v="66630" u="1"/>
        <n v="68760" u="1"/>
        <n v="59997" u="1"/>
        <n v="60920" u="1"/>
        <n v="63405" u="1"/>
        <n v="55473" u="1"/>
        <n v="55970" u="1"/>
        <n v="59165" u="1"/>
        <n v="64490" u="1"/>
        <n v="65413" u="1"/>
        <n v="66000" u="1"/>
        <n v="68769" u="1"/>
      </sharedItems>
    </cacheField>
    <cacheField name="Cantidad" numFmtId="0">
      <sharedItems containsBlank="1" containsMixedTypes="1" containsNumber="1" containsInteger="1" minValue="3" maxValue="240" count="48">
        <n v="12"/>
        <m/>
        <s v=""/>
        <n v="96" u="1"/>
        <n v="57" u="1"/>
        <n v="13" u="1"/>
        <n v="59" u="1"/>
        <n v="61" u="1"/>
        <n v="5" u="1"/>
        <n v="14" u="1"/>
        <n v="116" u="1"/>
        <n v="15" u="1"/>
        <n v="120" u="1"/>
        <n v="6" u="1"/>
        <n v="16" u="1"/>
        <n v="48" u="1"/>
        <n v="17" u="1"/>
        <n v="50" u="1"/>
        <n v="18" u="1"/>
        <n v="52" u="1"/>
        <n v="144" u="1"/>
        <n v="19" u="1"/>
        <n v="54" u="1"/>
        <n v="7" u="1"/>
        <n v="20" u="1"/>
        <n v="56" u="1"/>
        <n v="58" u="1"/>
        <n v="168" u="1"/>
        <n v="22" u="1"/>
        <n v="60" u="1"/>
        <n v="23" u="1"/>
        <n v="3" u="1"/>
        <n v="8" u="1"/>
        <n v="24" u="1"/>
        <n v="192" u="1"/>
        <n v="25" u="1"/>
        <n v="26" u="1"/>
        <n v="72" u="1"/>
        <n v="158" u="1"/>
        <n v="97" u="1"/>
        <n v="10" u="1"/>
        <n v="216" u="1"/>
        <n v="49" u="1"/>
        <n v="51" u="1"/>
        <n v="53" u="1"/>
        <n v="240" u="1"/>
        <n v="4" u="1"/>
        <n v="55" u="1"/>
      </sharedItems>
    </cacheField>
    <cacheField name="Prioridad" numFmtId="0">
      <sharedItems containsBlank="1" containsMixedTypes="1" containsNumber="1" containsInteger="1" minValue="1" maxValue="29" count="31">
        <n v="4"/>
        <m/>
        <s v="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20" u="1"/>
        <n v="21" u="1"/>
        <n v="22" u="1"/>
        <n v="1" u="1"/>
        <n v="23" u="1"/>
        <n v="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12" u="1"/>
      </sharedItems>
    </cacheField>
    <cacheField name="COND" numFmtId="0">
      <sharedItems containsBlank="1"/>
    </cacheField>
    <cacheField name="Conjunto" numFmtId="0">
      <sharedItems/>
    </cacheField>
    <cacheField name="CCCKit" numFmtId="0">
      <sharedItems/>
    </cacheField>
    <cacheField name="NombreKit" numFmtId="0">
      <sharedItems/>
    </cacheField>
    <cacheField name="PRKIT" numFmtId="0">
      <sharedItems/>
    </cacheField>
    <cacheField name="PN1KIT" numFmtId="0">
      <sharedItems/>
    </cacheField>
    <cacheField name="PN2KIT" numFmtId="0">
      <sharedItems/>
    </cacheField>
    <cacheField name="PRItem1" numFmtId="0">
      <sharedItems/>
    </cacheField>
    <cacheField name="PNItem1" numFmtId="0">
      <sharedItems/>
    </cacheField>
    <cacheField name="DesItem1" numFmtId="0">
      <sharedItems/>
    </cacheField>
    <cacheField name="QtyItem1" numFmtId="0">
      <sharedItems/>
    </cacheField>
    <cacheField name="UniItem1" numFmtId="0">
      <sharedItems/>
    </cacheField>
    <cacheField name="CMItem1" numFmtId="0">
      <sharedItems/>
    </cacheField>
    <cacheField name="PRItem2" numFmtId="0">
      <sharedItems/>
    </cacheField>
    <cacheField name="PNItem2" numFmtId="0">
      <sharedItems/>
    </cacheField>
    <cacheField name="DesItem2" numFmtId="0">
      <sharedItems/>
    </cacheField>
    <cacheField name="QtyItem2" numFmtId="0">
      <sharedItems/>
    </cacheField>
    <cacheField name="UniItem2" numFmtId="0">
      <sharedItems/>
    </cacheField>
    <cacheField name="CMItem2" numFmtId="0">
      <sharedItems/>
    </cacheField>
    <cacheField name="PRItem3" numFmtId="0">
      <sharedItems/>
    </cacheField>
    <cacheField name="PNItem3" numFmtId="0">
      <sharedItems/>
    </cacheField>
    <cacheField name="DesItem3" numFmtId="0">
      <sharedItems/>
    </cacheField>
    <cacheField name="QtyItem3" numFmtId="0">
      <sharedItems/>
    </cacheField>
    <cacheField name="UniItem3" numFmtId="0">
      <sharedItems/>
    </cacheField>
    <cacheField name="CMItem3" numFmtId="0">
      <sharedItems/>
    </cacheField>
    <cacheField name="PRItem4" numFmtId="0">
      <sharedItems/>
    </cacheField>
    <cacheField name="PNItem4" numFmtId="0">
      <sharedItems/>
    </cacheField>
    <cacheField name="DesItem4" numFmtId="0">
      <sharedItems/>
    </cacheField>
    <cacheField name="QtyItem4" numFmtId="0">
      <sharedItems/>
    </cacheField>
    <cacheField name="UniItem4" numFmtId="0">
      <sharedItems/>
    </cacheField>
    <cacheField name="CMItem4" numFmtId="0">
      <sharedItems/>
    </cacheField>
    <cacheField name="PRItem5" numFmtId="0">
      <sharedItems/>
    </cacheField>
    <cacheField name="PNItem5" numFmtId="0">
      <sharedItems/>
    </cacheField>
    <cacheField name="DesItem5" numFmtId="0">
      <sharedItems/>
    </cacheField>
    <cacheField name="QtyItem5" numFmtId="0">
      <sharedItems/>
    </cacheField>
    <cacheField name="UniItem5" numFmtId="0">
      <sharedItems/>
    </cacheField>
    <cacheField name="CMItem5" numFmtId="0">
      <sharedItems/>
    </cacheField>
    <cacheField name="PRItem6" numFmtId="0">
      <sharedItems/>
    </cacheField>
    <cacheField name="PNItem6" numFmtId="0">
      <sharedItems/>
    </cacheField>
    <cacheField name="DesItem6" numFmtId="0">
      <sharedItems/>
    </cacheField>
    <cacheField name="QtyItem6" numFmtId="0">
      <sharedItems/>
    </cacheField>
    <cacheField name="UniItem6" numFmtId="0">
      <sharedItems/>
    </cacheField>
    <cacheField name="CMItem6" numFmtId="0">
      <sharedItems/>
    </cacheField>
    <cacheField name="PRItem7" numFmtId="0">
      <sharedItems/>
    </cacheField>
    <cacheField name="PNItem7" numFmtId="0">
      <sharedItems/>
    </cacheField>
    <cacheField name="DesItem7" numFmtId="0">
      <sharedItems/>
    </cacheField>
    <cacheField name="QtyItem7" numFmtId="0">
      <sharedItems/>
    </cacheField>
    <cacheField name="UniItem7" numFmtId="0">
      <sharedItems/>
    </cacheField>
    <cacheField name="CMItem7" numFmtId="0">
      <sharedItems/>
    </cacheField>
    <cacheField name="PRItem8" numFmtId="0">
      <sharedItems/>
    </cacheField>
    <cacheField name="PNItem8" numFmtId="0">
      <sharedItems containsMixedTypes="1" containsNumber="1" containsInteger="1" minValue="91080" maxValue="91080"/>
    </cacheField>
    <cacheField name="DesItem8" numFmtId="0">
      <sharedItems containsMixedTypes="1" containsNumber="1" containsInteger="1" minValue="12" maxValue="12"/>
    </cacheField>
    <cacheField name="QtyItem8" numFmtId="0">
      <sharedItems containsMixedTypes="1" containsNumber="1" containsInteger="1" minValue="0" maxValue="0"/>
    </cacheField>
    <cacheField name="UniItem8" numFmtId="0">
      <sharedItems/>
    </cacheField>
    <cacheField name="CMItem8" numFmtId="0">
      <sharedItems/>
    </cacheField>
    <cacheField name="OrdenProd" numFmtId="0">
      <sharedItems containsMixedTypes="1" containsNumber="1" containsInteger="1" minValue="91080" maxValue="91080"/>
    </cacheField>
    <cacheField name="Qty" numFmtId="0">
      <sharedItems containsMixedTypes="1" containsNumber="1" containsInteger="1" minValue="12" maxValue="12"/>
    </cacheField>
    <cacheField name="Hoja" numFmtId="0">
      <sharedItems containsMixedTypes="1" containsNumber="1" containsInteger="1" minValue="0" maxValue="0" count="2">
        <s v=""/>
        <n v="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x v="0"/>
    <x v="0"/>
    <x v="0"/>
    <m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1080"/>
    <n v="12"/>
    <x v="0"/>
  </r>
  <r>
    <x v="1"/>
    <x v="1"/>
    <x v="1"/>
    <x v="1"/>
    <m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x v="1"/>
    <x v="1"/>
    <x v="1"/>
    <x v="1"/>
    <m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x v="2"/>
    <x v="2"/>
    <x v="2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1080"/>
    <n v="12"/>
    <n v="0"/>
    <s v=""/>
    <s v=""/>
    <s v=""/>
    <s v=""/>
    <x v="0"/>
  </r>
  <r>
    <x v="2"/>
    <x v="2"/>
    <x v="2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1080"/>
    <n v="12"/>
    <s v=""/>
    <s v=""/>
    <s v=""/>
    <s v=""/>
    <s v=""/>
    <x v="0"/>
  </r>
  <r>
    <x v="2"/>
    <x v="2"/>
    <x v="2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1080"/>
    <n v="12"/>
    <s v=""/>
    <s v=""/>
    <s v=""/>
    <s v=""/>
    <s v=""/>
    <x v="0"/>
  </r>
  <r>
    <x v="2"/>
    <x v="2"/>
    <x v="2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1080"/>
    <n v="12"/>
    <s v=""/>
    <s v=""/>
    <s v=""/>
    <s v=""/>
    <s v=""/>
    <x v="0"/>
  </r>
  <r>
    <x v="2"/>
    <x v="2"/>
    <x v="2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1080"/>
    <n v="12"/>
    <s v=""/>
    <s v=""/>
    <s v=""/>
    <s v=""/>
    <s v=""/>
    <x v="0"/>
  </r>
  <r>
    <x v="2"/>
    <x v="2"/>
    <x v="2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1080"/>
    <n v="12"/>
    <s v=""/>
    <s v=""/>
    <s v=""/>
    <s v=""/>
    <s v=""/>
    <x v="0"/>
  </r>
  <r>
    <x v="2"/>
    <x v="2"/>
    <x v="2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1080"/>
    <n v="12"/>
    <s v=""/>
    <s v=""/>
    <s v=""/>
    <s v=""/>
    <s v=""/>
    <x v="0"/>
  </r>
  <r>
    <x v="2"/>
    <x v="2"/>
    <x v="2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1080"/>
    <n v="12"/>
    <s v=""/>
    <s v=""/>
    <s v=""/>
    <s v=""/>
    <s v=""/>
    <x v="0"/>
  </r>
  <r>
    <x v="2"/>
    <x v="2"/>
    <x v="2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1080"/>
    <n v="12"/>
    <s v=""/>
    <s v=""/>
    <s v=""/>
    <s v=""/>
    <s v=""/>
    <x v="0"/>
  </r>
  <r>
    <x v="2"/>
    <x v="2"/>
    <x v="2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1080"/>
    <n v="12"/>
    <s v=""/>
    <s v=""/>
    <s v=""/>
    <s v=""/>
    <s v=""/>
    <x v="0"/>
  </r>
  <r>
    <x v="2"/>
    <x v="2"/>
    <x v="2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1080"/>
    <n v="12"/>
    <s v=""/>
    <s v=""/>
    <s v=""/>
    <s v=""/>
    <s v=""/>
    <x v="0"/>
  </r>
  <r>
    <x v="3"/>
    <x v="2"/>
    <x v="2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1080"/>
    <n v="12"/>
    <s v=""/>
    <s v=""/>
    <s v=""/>
    <s v=""/>
    <s v=""/>
    <x v="0"/>
  </r>
  <r>
    <x v="2"/>
    <x v="2"/>
    <x v="2"/>
    <x v="2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1080"/>
    <n v="12"/>
    <s v=""/>
    <s v=""/>
    <s v=""/>
    <s v=""/>
    <s v="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QETIQUETAS" cacheId="182" applyNumberFormats="0" applyBorderFormats="0" applyFontFormats="0" applyPatternFormats="0" applyAlignmentFormats="0" applyWidthHeightFormats="1" dataCaption="Values" updatedVersion="6" minRefreshableVersion="3" showDrill="0" useAutoFormatting="1" colGrandTotals="0" itemPrintTitles="1" createdVersion="6" indent="0" compact="0" compactData="0" multipleFieldFilters="0">
  <location ref="BX4:BY6" firstHeaderRow="1" firstDataRow="1" firstDataCol="1"/>
  <pivotFields count="62">
    <pivotField compact="0" outline="0" showAll="0" defaultSubtotal="0">
      <items count="87">
        <item m="1" x="44"/>
        <item m="1" x="64"/>
        <item m="1" x="53"/>
        <item m="1" x="81"/>
        <item m="1" x="49"/>
        <item m="1" x="66"/>
        <item m="1" x="75"/>
        <item m="1" x="86"/>
        <item m="1" x="10"/>
        <item m="1" x="36"/>
        <item m="1" x="22"/>
        <item m="1" x="37"/>
        <item m="1" x="51"/>
        <item m="1" x="57"/>
        <item m="1" x="68"/>
        <item m="1" x="84"/>
        <item m="1" x="21"/>
        <item m="1" x="34"/>
        <item m="1" x="74"/>
        <item m="1" x="26"/>
        <item m="1" x="43"/>
        <item m="1" x="62"/>
        <item m="1" x="76"/>
        <item m="1" x="56"/>
        <item m="1" x="71"/>
        <item x="1"/>
        <item m="1" x="33"/>
        <item m="1" x="13"/>
        <item m="1" x="18"/>
        <item m="1" x="7"/>
        <item m="1" x="52"/>
        <item m="1" x="20"/>
        <item m="1" x="85"/>
        <item m="1" x="32"/>
        <item m="1" x="4"/>
        <item m="1" x="54"/>
        <item m="1" x="23"/>
        <item m="1" x="61"/>
        <item m="1" x="28"/>
        <item m="1" x="79"/>
        <item m="1" x="45"/>
        <item m="1" x="14"/>
        <item m="1" x="67"/>
        <item m="1" x="19"/>
        <item m="1" x="69"/>
        <item m="1" x="12"/>
        <item m="1" x="63"/>
        <item m="1" x="46"/>
        <item m="1" x="29"/>
        <item m="1" x="15"/>
        <item m="1" x="50"/>
        <item m="1" x="72"/>
        <item m="1" x="35"/>
        <item m="1" x="24"/>
        <item m="1" x="6"/>
        <item m="1" x="73"/>
        <item m="1" x="41"/>
        <item m="1" x="8"/>
        <item m="1" x="59"/>
        <item m="1" x="27"/>
        <item m="1" x="77"/>
        <item m="1" x="47"/>
        <item m="1" x="16"/>
        <item m="1" x="65"/>
        <item m="1" x="30"/>
        <item m="1" x="80"/>
        <item m="1" x="48"/>
        <item m="1" x="82"/>
        <item m="1" x="42"/>
        <item m="1" x="9"/>
        <item m="1" x="60"/>
        <item m="1" x="40"/>
        <item m="1" x="17"/>
        <item m="1" x="38"/>
        <item m="1" x="58"/>
        <item m="1" x="78"/>
        <item m="1" x="83"/>
        <item m="1" x="55"/>
        <item m="1" x="11"/>
        <item m="1" x="39"/>
        <item m="1" x="5"/>
        <item m="1" x="31"/>
        <item m="1" x="70"/>
        <item m="1" x="25"/>
        <item x="0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53">
        <item m="1" x="84"/>
        <item m="1" x="244"/>
        <item m="1" x="47"/>
        <item m="1" x="202"/>
        <item m="1" x="10"/>
        <item m="1" x="169"/>
        <item m="1" x="327"/>
        <item m="1" x="136"/>
        <item m="1" x="292"/>
        <item m="1" x="101"/>
        <item m="1" x="263"/>
        <item m="1" x="67"/>
        <item m="1" x="224"/>
        <item m="1" x="32"/>
        <item m="1" x="191"/>
        <item m="1" x="346"/>
        <item m="1" x="154"/>
        <item m="1" x="312"/>
        <item m="1" x="120"/>
        <item m="1" x="281"/>
        <item m="1" x="88"/>
        <item m="1" x="249"/>
        <item m="1" x="53"/>
        <item m="1" x="17"/>
        <item m="1" x="176"/>
        <item m="1" x="142"/>
        <item m="1" x="299"/>
        <item m="1" x="181"/>
        <item m="1" x="258"/>
        <item m="1" x="326"/>
        <item m="1" x="52"/>
        <item m="1" x="223"/>
        <item m="1" x="74"/>
        <item m="1" x="231"/>
        <item m="1" x="77"/>
        <item m="1" x="236"/>
        <item m="1" x="83"/>
        <item m="1" x="243"/>
        <item m="1" x="87"/>
        <item m="1" x="248"/>
        <item m="1" x="5"/>
        <item m="1" x="203"/>
        <item m="1" x="11"/>
        <item m="1" x="170"/>
        <item m="1" x="328"/>
        <item m="1" x="137"/>
        <item m="1" x="293"/>
        <item m="1" x="102"/>
        <item m="1" x="264"/>
        <item m="1" x="68"/>
        <item m="1" x="225"/>
        <item m="1" x="33"/>
        <item m="1" x="192"/>
        <item m="1" x="347"/>
        <item m="1" x="155"/>
        <item m="1" x="313"/>
        <item m="1" x="121"/>
        <item m="1" x="282"/>
        <item m="1" x="89"/>
        <item m="1" x="250"/>
        <item m="1" x="54"/>
        <item m="1" x="210"/>
        <item m="1" x="18"/>
        <item m="1" x="177"/>
        <item m="1" x="317"/>
        <item m="1" x="124"/>
        <item m="1" x="284"/>
        <item m="1" x="92"/>
        <item m="1" x="253"/>
        <item m="1" x="57"/>
        <item m="1" x="214"/>
        <item m="1" x="22"/>
        <item m="1" x="182"/>
        <item m="1" x="337"/>
        <item m="1" x="146"/>
        <item m="1" x="303"/>
        <item m="1" x="112"/>
        <item m="1" x="274"/>
        <item m="1" x="97"/>
        <item m="1" x="237"/>
        <item m="1" x="42"/>
        <item m="1" x="199"/>
        <item m="1" x="6"/>
        <item m="1" x="163"/>
        <item m="1" x="321"/>
        <item m="1" x="130"/>
        <item m="1" x="288"/>
        <item m="1" x="211"/>
        <item m="1" x="19"/>
        <item m="1" x="178"/>
        <item m="1" x="334"/>
        <item m="1" x="143"/>
        <item m="1" x="300"/>
        <item m="1" x="109"/>
        <item m="1" x="270"/>
        <item m="1" x="75"/>
        <item m="1" x="232"/>
        <item m="1" x="39"/>
        <item m="1" x="196"/>
        <item m="1" x="3"/>
        <item m="1" x="161"/>
        <item m="1" x="318"/>
        <item m="1" x="125"/>
        <item m="1" x="93"/>
        <item m="1" x="254"/>
        <item m="1" x="58"/>
        <item m="1" x="215"/>
        <item m="1" x="204"/>
        <item m="1" x="12"/>
        <item m="1" x="171"/>
        <item m="1" x="329"/>
        <item m="1" x="138"/>
        <item m="1" x="294"/>
        <item m="1" x="103"/>
        <item m="1" x="265"/>
        <item m="1" x="69"/>
        <item m="1" x="226"/>
        <item m="1" x="34"/>
        <item m="1" x="193"/>
        <item m="1" x="348"/>
        <item m="1" x="156"/>
        <item m="1" x="314"/>
        <item m="1" x="122"/>
        <item m="1" x="283"/>
        <item m="1" x="90"/>
        <item m="1" x="251"/>
        <item m="1" x="55"/>
        <item m="1" x="212"/>
        <item m="1" x="20"/>
        <item m="1" x="179"/>
        <item m="1" x="335"/>
        <item m="1" x="144"/>
        <item m="1" x="301"/>
        <item m="1" x="110"/>
        <item m="1" x="271"/>
        <item m="1" x="76"/>
        <item m="1" x="233"/>
        <item m="1" x="40"/>
        <item m="1" x="197"/>
        <item m="1" x="7"/>
        <item m="1" x="164"/>
        <item m="1" x="322"/>
        <item m="1" x="131"/>
        <item m="1" x="98"/>
        <item m="1" x="259"/>
        <item m="1" x="63"/>
        <item m="1" x="220"/>
        <item m="1" x="29"/>
        <item m="1" x="188"/>
        <item m="1" x="343"/>
        <item m="1" x="151"/>
        <item m="1" x="308"/>
        <item m="1" x="117"/>
        <item m="1" x="279"/>
        <item m="1" x="85"/>
        <item m="1" x="245"/>
        <item m="1" x="48"/>
        <item m="1" x="205"/>
        <item m="1" x="13"/>
        <item m="1" x="172"/>
        <item m="1" x="344"/>
        <item m="1" x="152"/>
        <item m="1" x="309"/>
        <item m="1" x="118"/>
        <item m="1" x="23"/>
        <item m="1" x="183"/>
        <item m="1" x="338"/>
        <item m="1" x="147"/>
        <item m="1" x="304"/>
        <item m="1" x="113"/>
        <item m="1" x="275"/>
        <item m="1" x="78"/>
        <item m="1" x="238"/>
        <item m="1" x="43"/>
        <item m="1" x="200"/>
        <item m="1" x="8"/>
        <item m="1" x="165"/>
        <item m="1" x="323"/>
        <item m="1" x="132"/>
        <item m="1" x="289"/>
        <item m="1" x="99"/>
        <item m="1" x="260"/>
        <item m="1" x="64"/>
        <item m="1" x="221"/>
        <item m="1" x="30"/>
        <item m="1" x="189"/>
        <item m="1" x="345"/>
        <item m="1" x="153"/>
        <item m="1" x="310"/>
        <item m="1" x="119"/>
        <item m="1" x="280"/>
        <item m="1" x="86"/>
        <item m="1" x="246"/>
        <item m="1" x="49"/>
        <item m="1" x="206"/>
        <item m="1" x="14"/>
        <item m="1" x="173"/>
        <item m="1" x="330"/>
        <item m="1" x="139"/>
        <item m="1" x="295"/>
        <item m="1" x="104"/>
        <item m="1" x="266"/>
        <item m="1" x="70"/>
        <item m="1" x="227"/>
        <item m="1" x="35"/>
        <item m="1" x="349"/>
        <item m="1" x="157"/>
        <item m="1" x="166"/>
        <item m="1" x="324"/>
        <item m="1" x="133"/>
        <item m="1" x="290"/>
        <item m="1" x="24"/>
        <item m="1" x="272"/>
        <item m="1" x="234"/>
        <item m="1" x="41"/>
        <item m="1" x="198"/>
        <item m="1" x="4"/>
        <item m="1" x="162"/>
        <item m="1" x="319"/>
        <item m="1" x="126"/>
        <item m="1" x="285"/>
        <item m="1" x="94"/>
        <item m="1" x="255"/>
        <item m="1" x="59"/>
        <item m="1" x="216"/>
        <item m="1" x="25"/>
        <item m="1" x="184"/>
        <item m="1" x="339"/>
        <item m="1" x="148"/>
        <item m="1" x="305"/>
        <item m="1" x="114"/>
        <item m="1" x="276"/>
        <item m="1" x="79"/>
        <item m="1" x="239"/>
        <item m="1" x="44"/>
        <item m="1" x="201"/>
        <item m="1" x="207"/>
        <item m="1" x="15"/>
        <item m="1" x="174"/>
        <item m="1" x="331"/>
        <item m="1" x="140"/>
        <item m="1" x="296"/>
        <item m="1" x="105"/>
        <item m="1" x="267"/>
        <item m="1" x="71"/>
        <item m="1" x="228"/>
        <item m="1" x="36"/>
        <item m="1" x="350"/>
        <item m="1" x="158"/>
        <item m="1" x="127"/>
        <item m="1" x="286"/>
        <item m="1" x="95"/>
        <item m="1" x="256"/>
        <item m="1" x="60"/>
        <item m="1" x="217"/>
        <item m="1" x="26"/>
        <item m="1" x="185"/>
        <item m="1" x="340"/>
        <item m="1" x="80"/>
        <item m="1" x="240"/>
        <item m="1" x="167"/>
        <item m="1" x="134"/>
        <item m="1" x="261"/>
        <item m="1" x="65"/>
        <item m="1" x="306"/>
        <item m="1" x="37"/>
        <item m="1" x="115"/>
        <item m="1" x="194"/>
        <item m="1" x="277"/>
        <item m="1" x="351"/>
        <item m="1" x="81"/>
        <item m="1" x="159"/>
        <item m="1" x="241"/>
        <item m="1" x="315"/>
        <item m="1" x="45"/>
        <item m="1" x="123"/>
        <item m="1" x="50"/>
        <item m="1" x="128"/>
        <item m="1" x="208"/>
        <item m="1" x="287"/>
        <item m="1" x="16"/>
        <item m="1" x="96"/>
        <item m="1" x="175"/>
        <item m="1" x="257"/>
        <item m="1" x="332"/>
        <item m="1" x="61"/>
        <item m="1" x="141"/>
        <item m="1" x="218"/>
        <item m="1" x="297"/>
        <item m="1" x="27"/>
        <item m="1" x="106"/>
        <item m="1" x="186"/>
        <item m="1" x="268"/>
        <item m="1" x="341"/>
        <item m="1" x="72"/>
        <item m="1" x="149"/>
        <item m="1" x="229"/>
        <item m="1" x="311"/>
        <item m="1" x="235"/>
        <item m="1" x="9"/>
        <item m="1" x="91"/>
        <item m="1" x="168"/>
        <item m="1" x="252"/>
        <item m="1" x="325"/>
        <item m="1" x="56"/>
        <item m="1" x="135"/>
        <item m="1" x="213"/>
        <item m="1" x="291"/>
        <item m="1" x="21"/>
        <item m="1" x="100"/>
        <item m="1" x="180"/>
        <item m="1" x="262"/>
        <item m="1" x="336"/>
        <item m="1" x="66"/>
        <item m="1" x="145"/>
        <item m="1" x="222"/>
        <item m="1" x="302"/>
        <item m="1" x="31"/>
        <item m="1" x="111"/>
        <item m="1" x="190"/>
        <item m="1" x="273"/>
        <item m="1" x="247"/>
        <item m="1" x="320"/>
        <item m="1" x="51"/>
        <item m="1" x="129"/>
        <item m="1" x="209"/>
        <item m="1" x="219"/>
        <item m="1" x="298"/>
        <item m="1" x="28"/>
        <item m="1" x="107"/>
        <item m="1" x="187"/>
        <item m="1" x="269"/>
        <item m="1" x="342"/>
        <item m="1" x="73"/>
        <item m="1" x="150"/>
        <item m="1" x="230"/>
        <item m="1" x="307"/>
        <item m="1" x="38"/>
        <item m="1" x="116"/>
        <item m="1" x="195"/>
        <item m="1" x="278"/>
        <item m="1" x="352"/>
        <item m="1" x="82"/>
        <item m="1" x="160"/>
        <item m="1" x="242"/>
        <item m="1" x="316"/>
        <item m="1" x="46"/>
        <item m="1" x="333"/>
        <item m="1" x="62"/>
        <item m="1" x="108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8">
        <item m="1" x="31"/>
        <item m="1" x="13"/>
        <item x="0"/>
        <item m="1" x="33"/>
        <item m="1" x="15"/>
        <item m="1" x="3"/>
        <item m="1" x="41"/>
        <item m="1" x="39"/>
        <item m="1" x="42"/>
        <item m="1" x="17"/>
        <item m="1" x="43"/>
        <item m="1" x="19"/>
        <item m="1" x="44"/>
        <item m="1" x="22"/>
        <item m="1" x="47"/>
        <item m="1" x="25"/>
        <item m="1" x="4"/>
        <item m="1" x="26"/>
        <item m="1" x="6"/>
        <item m="1" x="29"/>
        <item m="1" x="7"/>
        <item m="1" x="30"/>
        <item m="1" x="35"/>
        <item m="1" x="36"/>
        <item m="1" x="5"/>
        <item m="1" x="9"/>
        <item m="1" x="11"/>
        <item m="1" x="14"/>
        <item m="1" x="16"/>
        <item m="1" x="18"/>
        <item m="1" x="21"/>
        <item m="1" x="24"/>
        <item m="1" x="38"/>
        <item m="1" x="45"/>
        <item m="1" x="37"/>
        <item m="1" x="32"/>
        <item m="1" x="20"/>
        <item m="1" x="12"/>
        <item m="1" x="46"/>
        <item m="1" x="28"/>
        <item m="1" x="8"/>
        <item m="1" x="23"/>
        <item m="1" x="40"/>
        <item m="1" x="27"/>
        <item m="1" x="34"/>
        <item m="1" x="1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61"/>
  </rowFields>
  <rowItems count="2">
    <i>
      <x/>
    </i>
    <i t="grand">
      <x/>
    </i>
  </rowItems>
  <colItems count="1">
    <i/>
  </colItems>
  <dataFields count="1">
    <dataField name="Suma de Cantidad" fld="2" baseField="0" baseItem="0"/>
  </dataFields>
  <formats count="16">
    <format dxfId="228">
      <pivotArea type="all" dataOnly="0" outline="0" fieldPosition="0"/>
    </format>
    <format dxfId="227">
      <pivotArea field="0" type="button" dataOnly="0" labelOnly="1" outline="0"/>
    </format>
    <format dxfId="226">
      <pivotArea field="2" type="button" dataOnly="0" labelOnly="1" outline="0"/>
    </format>
    <format dxfId="225">
      <pivotArea field="1" type="button" dataOnly="0" labelOnly="1" outline="0"/>
    </format>
    <format dxfId="224">
      <pivotArea type="all" dataOnly="0" outline="0" fieldPosition="0"/>
    </format>
    <format dxfId="223">
      <pivotArea field="0" type="button" dataOnly="0" labelOnly="1" outline="0"/>
    </format>
    <format dxfId="222">
      <pivotArea field="2" type="button" dataOnly="0" labelOnly="1" outline="0"/>
    </format>
    <format dxfId="221">
      <pivotArea field="1" type="button" dataOnly="0" labelOnly="1" outline="0"/>
    </format>
    <format dxfId="220">
      <pivotArea type="all" dataOnly="0" outline="0" fieldPosition="0"/>
    </format>
    <format dxfId="219">
      <pivotArea field="0" type="button" dataOnly="0" labelOnly="1" outline="0"/>
    </format>
    <format dxfId="218">
      <pivotArea field="2" type="button" dataOnly="0" labelOnly="1" outline="0"/>
    </format>
    <format dxfId="217">
      <pivotArea field="1" type="button" dataOnly="0" labelOnly="1" outline="0"/>
    </format>
    <format dxfId="216">
      <pivotArea type="all" dataOnly="0" outline="0" fieldPosition="0"/>
    </format>
    <format dxfId="215">
      <pivotArea field="0" type="button" dataOnly="0" labelOnly="1" outline="0"/>
    </format>
    <format dxfId="214">
      <pivotArea field="2" type="button" dataOnly="0" labelOnly="1" outline="0"/>
    </format>
    <format dxfId="213">
      <pivotArea field="1" type="button" dataOnly="0" labelOnly="1" outline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RESUMEN" cacheId="182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BP4:BT8" firstHeaderRow="1" firstDataRow="1" firstDataCol="5"/>
  <pivotFields count="62">
    <pivotField axis="axisRow" compact="0" outline="0" showAll="0" defaultSubtotal="0">
      <items count="87">
        <item m="1" x="44"/>
        <item m="1" x="64"/>
        <item m="1" x="53"/>
        <item m="1" x="81"/>
        <item m="1" x="49"/>
        <item m="1" x="66"/>
        <item m="1" x="75"/>
        <item m="1" x="86"/>
        <item m="1" x="10"/>
        <item m="1" x="36"/>
        <item m="1" x="22"/>
        <item m="1" x="37"/>
        <item m="1" x="51"/>
        <item m="1" x="57"/>
        <item m="1" x="68"/>
        <item m="1" x="84"/>
        <item m="1" x="21"/>
        <item m="1" x="34"/>
        <item m="1" x="74"/>
        <item m="1" x="26"/>
        <item m="1" x="43"/>
        <item m="1" x="62"/>
        <item m="1" x="76"/>
        <item m="1" x="56"/>
        <item m="1" x="71"/>
        <item x="1"/>
        <item m="1" x="33"/>
        <item m="1" x="13"/>
        <item m="1" x="18"/>
        <item m="1" x="7"/>
        <item m="1" x="52"/>
        <item m="1" x="20"/>
        <item m="1" x="85"/>
        <item m="1" x="32"/>
        <item m="1" x="4"/>
        <item m="1" x="54"/>
        <item m="1" x="23"/>
        <item m="1" x="61"/>
        <item m="1" x="28"/>
        <item m="1" x="79"/>
        <item m="1" x="45"/>
        <item m="1" x="14"/>
        <item m="1" x="67"/>
        <item m="1" x="19"/>
        <item m="1" x="69"/>
        <item m="1" x="12"/>
        <item m="1" x="63"/>
        <item m="1" x="46"/>
        <item m="1" x="29"/>
        <item m="1" x="15"/>
        <item m="1" x="50"/>
        <item m="1" x="72"/>
        <item m="1" x="35"/>
        <item m="1" x="24"/>
        <item m="1" x="6"/>
        <item m="1" x="73"/>
        <item m="1" x="41"/>
        <item m="1" x="8"/>
        <item m="1" x="59"/>
        <item m="1" x="27"/>
        <item m="1" x="77"/>
        <item m="1" x="47"/>
        <item m="1" x="16"/>
        <item m="1" x="65"/>
        <item m="1" x="30"/>
        <item m="1" x="80"/>
        <item m="1" x="48"/>
        <item m="1" x="82"/>
        <item m="1" x="42"/>
        <item m="1" x="9"/>
        <item m="1" x="60"/>
        <item m="1" x="40"/>
        <item m="1" x="17"/>
        <item m="1" x="38"/>
        <item m="1" x="58"/>
        <item m="1" x="78"/>
        <item m="1" x="83"/>
        <item m="1" x="55"/>
        <item m="1" x="11"/>
        <item m="1" x="39"/>
        <item m="1" x="5"/>
        <item m="1" x="31"/>
        <item m="1" x="70"/>
        <item m="1" x="25"/>
        <item x="0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3">
        <item m="1" x="84"/>
        <item m="1" x="244"/>
        <item m="1" x="47"/>
        <item m="1" x="202"/>
        <item m="1" x="10"/>
        <item m="1" x="169"/>
        <item m="1" x="327"/>
        <item m="1" x="136"/>
        <item m="1" x="292"/>
        <item m="1" x="101"/>
        <item m="1" x="263"/>
        <item m="1" x="67"/>
        <item m="1" x="224"/>
        <item m="1" x="32"/>
        <item m="1" x="191"/>
        <item m="1" x="346"/>
        <item m="1" x="154"/>
        <item m="1" x="312"/>
        <item m="1" x="120"/>
        <item m="1" x="281"/>
        <item m="1" x="88"/>
        <item m="1" x="249"/>
        <item m="1" x="53"/>
        <item m="1" x="17"/>
        <item m="1" x="176"/>
        <item m="1" x="142"/>
        <item m="1" x="299"/>
        <item m="1" x="181"/>
        <item m="1" x="258"/>
        <item m="1" x="326"/>
        <item m="1" x="52"/>
        <item m="1" x="223"/>
        <item m="1" x="74"/>
        <item m="1" x="231"/>
        <item m="1" x="77"/>
        <item m="1" x="236"/>
        <item m="1" x="83"/>
        <item m="1" x="243"/>
        <item m="1" x="87"/>
        <item m="1" x="248"/>
        <item m="1" x="5"/>
        <item m="1" x="203"/>
        <item m="1" x="11"/>
        <item m="1" x="170"/>
        <item m="1" x="328"/>
        <item m="1" x="137"/>
        <item m="1" x="293"/>
        <item m="1" x="102"/>
        <item m="1" x="264"/>
        <item m="1" x="68"/>
        <item m="1" x="225"/>
        <item m="1" x="33"/>
        <item m="1" x="192"/>
        <item m="1" x="347"/>
        <item m="1" x="155"/>
        <item m="1" x="313"/>
        <item m="1" x="121"/>
        <item m="1" x="282"/>
        <item m="1" x="89"/>
        <item m="1" x="250"/>
        <item m="1" x="54"/>
        <item m="1" x="210"/>
        <item m="1" x="18"/>
        <item m="1" x="177"/>
        <item m="1" x="317"/>
        <item m="1" x="124"/>
        <item m="1" x="284"/>
        <item m="1" x="92"/>
        <item m="1" x="253"/>
        <item m="1" x="57"/>
        <item m="1" x="214"/>
        <item m="1" x="22"/>
        <item m="1" x="182"/>
        <item m="1" x="337"/>
        <item m="1" x="146"/>
        <item m="1" x="303"/>
        <item m="1" x="112"/>
        <item m="1" x="274"/>
        <item m="1" x="97"/>
        <item m="1" x="237"/>
        <item m="1" x="42"/>
        <item m="1" x="199"/>
        <item m="1" x="6"/>
        <item m="1" x="163"/>
        <item m="1" x="321"/>
        <item m="1" x="130"/>
        <item m="1" x="288"/>
        <item m="1" x="211"/>
        <item m="1" x="19"/>
        <item m="1" x="178"/>
        <item m="1" x="334"/>
        <item m="1" x="143"/>
        <item m="1" x="300"/>
        <item m="1" x="109"/>
        <item m="1" x="270"/>
        <item m="1" x="75"/>
        <item m="1" x="232"/>
        <item m="1" x="39"/>
        <item m="1" x="196"/>
        <item m="1" x="3"/>
        <item m="1" x="161"/>
        <item m="1" x="318"/>
        <item m="1" x="125"/>
        <item m="1" x="93"/>
        <item m="1" x="254"/>
        <item m="1" x="58"/>
        <item m="1" x="215"/>
        <item m="1" x="204"/>
        <item m="1" x="12"/>
        <item m="1" x="171"/>
        <item m="1" x="329"/>
        <item m="1" x="138"/>
        <item m="1" x="294"/>
        <item m="1" x="103"/>
        <item m="1" x="265"/>
        <item m="1" x="69"/>
        <item m="1" x="226"/>
        <item m="1" x="34"/>
        <item m="1" x="193"/>
        <item m="1" x="348"/>
        <item m="1" x="156"/>
        <item m="1" x="314"/>
        <item m="1" x="122"/>
        <item m="1" x="283"/>
        <item m="1" x="90"/>
        <item m="1" x="251"/>
        <item m="1" x="55"/>
        <item m="1" x="212"/>
        <item m="1" x="20"/>
        <item m="1" x="179"/>
        <item m="1" x="335"/>
        <item m="1" x="144"/>
        <item m="1" x="301"/>
        <item m="1" x="110"/>
        <item m="1" x="271"/>
        <item m="1" x="76"/>
        <item m="1" x="233"/>
        <item m="1" x="40"/>
        <item m="1" x="197"/>
        <item m="1" x="7"/>
        <item m="1" x="164"/>
        <item m="1" x="322"/>
        <item m="1" x="131"/>
        <item m="1" x="98"/>
        <item m="1" x="259"/>
        <item m="1" x="63"/>
        <item m="1" x="220"/>
        <item m="1" x="29"/>
        <item m="1" x="188"/>
        <item m="1" x="343"/>
        <item m="1" x="151"/>
        <item m="1" x="308"/>
        <item m="1" x="117"/>
        <item m="1" x="279"/>
        <item m="1" x="85"/>
        <item m="1" x="245"/>
        <item m="1" x="48"/>
        <item m="1" x="205"/>
        <item m="1" x="13"/>
        <item m="1" x="172"/>
        <item m="1" x="344"/>
        <item m="1" x="152"/>
        <item m="1" x="309"/>
        <item m="1" x="118"/>
        <item m="1" x="23"/>
        <item m="1" x="183"/>
        <item m="1" x="338"/>
        <item m="1" x="147"/>
        <item m="1" x="304"/>
        <item m="1" x="113"/>
        <item m="1" x="275"/>
        <item m="1" x="78"/>
        <item m="1" x="238"/>
        <item m="1" x="43"/>
        <item m="1" x="200"/>
        <item m="1" x="8"/>
        <item m="1" x="165"/>
        <item m="1" x="323"/>
        <item m="1" x="132"/>
        <item m="1" x="289"/>
        <item m="1" x="99"/>
        <item m="1" x="260"/>
        <item m="1" x="64"/>
        <item m="1" x="221"/>
        <item m="1" x="30"/>
        <item m="1" x="189"/>
        <item m="1" x="345"/>
        <item m="1" x="153"/>
        <item m="1" x="310"/>
        <item m="1" x="119"/>
        <item m="1" x="280"/>
        <item m="1" x="86"/>
        <item m="1" x="246"/>
        <item m="1" x="49"/>
        <item m="1" x="206"/>
        <item m="1" x="14"/>
        <item m="1" x="173"/>
        <item m="1" x="330"/>
        <item m="1" x="139"/>
        <item m="1" x="295"/>
        <item m="1" x="104"/>
        <item m="1" x="266"/>
        <item m="1" x="70"/>
        <item m="1" x="227"/>
        <item m="1" x="35"/>
        <item m="1" x="349"/>
        <item m="1" x="157"/>
        <item m="1" x="166"/>
        <item m="1" x="324"/>
        <item m="1" x="133"/>
        <item m="1" x="290"/>
        <item m="1" x="24"/>
        <item m="1" x="272"/>
        <item m="1" x="234"/>
        <item m="1" x="41"/>
        <item m="1" x="198"/>
        <item m="1" x="4"/>
        <item m="1" x="162"/>
        <item m="1" x="319"/>
        <item m="1" x="126"/>
        <item m="1" x="285"/>
        <item m="1" x="94"/>
        <item m="1" x="255"/>
        <item m="1" x="59"/>
        <item m="1" x="216"/>
        <item m="1" x="25"/>
        <item m="1" x="184"/>
        <item m="1" x="339"/>
        <item m="1" x="148"/>
        <item m="1" x="305"/>
        <item m="1" x="114"/>
        <item m="1" x="276"/>
        <item m="1" x="79"/>
        <item m="1" x="239"/>
        <item m="1" x="44"/>
        <item m="1" x="201"/>
        <item m="1" x="207"/>
        <item m="1" x="15"/>
        <item m="1" x="174"/>
        <item m="1" x="331"/>
        <item m="1" x="140"/>
        <item m="1" x="296"/>
        <item m="1" x="105"/>
        <item m="1" x="267"/>
        <item m="1" x="71"/>
        <item m="1" x="228"/>
        <item m="1" x="36"/>
        <item m="1" x="350"/>
        <item m="1" x="158"/>
        <item m="1" x="127"/>
        <item m="1" x="286"/>
        <item m="1" x="95"/>
        <item m="1" x="256"/>
        <item m="1" x="60"/>
        <item m="1" x="217"/>
        <item m="1" x="26"/>
        <item m="1" x="185"/>
        <item m="1" x="340"/>
        <item m="1" x="80"/>
        <item m="1" x="240"/>
        <item m="1" x="167"/>
        <item m="1" x="134"/>
        <item m="1" x="261"/>
        <item m="1" x="65"/>
        <item m="1" x="306"/>
        <item m="1" x="37"/>
        <item m="1" x="115"/>
        <item m="1" x="194"/>
        <item m="1" x="277"/>
        <item m="1" x="351"/>
        <item m="1" x="81"/>
        <item m="1" x="159"/>
        <item m="1" x="241"/>
        <item m="1" x="315"/>
        <item m="1" x="45"/>
        <item m="1" x="123"/>
        <item m="1" x="50"/>
        <item m="1" x="128"/>
        <item m="1" x="208"/>
        <item m="1" x="287"/>
        <item m="1" x="16"/>
        <item m="1" x="96"/>
        <item m="1" x="175"/>
        <item m="1" x="257"/>
        <item m="1" x="332"/>
        <item m="1" x="61"/>
        <item m="1" x="141"/>
        <item m="1" x="218"/>
        <item m="1" x="297"/>
        <item m="1" x="27"/>
        <item m="1" x="106"/>
        <item m="1" x="186"/>
        <item m="1" x="268"/>
        <item m="1" x="341"/>
        <item m="1" x="72"/>
        <item m="1" x="149"/>
        <item m="1" x="229"/>
        <item m="1" x="311"/>
        <item m="1" x="235"/>
        <item m="1" x="9"/>
        <item m="1" x="91"/>
        <item m="1" x="168"/>
        <item m="1" x="252"/>
        <item m="1" x="325"/>
        <item m="1" x="56"/>
        <item m="1" x="135"/>
        <item m="1" x="213"/>
        <item m="1" x="291"/>
        <item m="1" x="21"/>
        <item m="1" x="100"/>
        <item m="1" x="180"/>
        <item m="1" x="262"/>
        <item m="1" x="336"/>
        <item m="1" x="66"/>
        <item m="1" x="145"/>
        <item m="1" x="222"/>
        <item m="1" x="302"/>
        <item m="1" x="31"/>
        <item m="1" x="111"/>
        <item m="1" x="190"/>
        <item m="1" x="273"/>
        <item m="1" x="247"/>
        <item m="1" x="320"/>
        <item m="1" x="51"/>
        <item m="1" x="129"/>
        <item m="1" x="209"/>
        <item m="1" x="219"/>
        <item m="1" x="298"/>
        <item m="1" x="28"/>
        <item m="1" x="107"/>
        <item m="1" x="187"/>
        <item m="1" x="269"/>
        <item m="1" x="342"/>
        <item m="1" x="73"/>
        <item m="1" x="150"/>
        <item m="1" x="230"/>
        <item m="1" x="307"/>
        <item m="1" x="38"/>
        <item m="1" x="116"/>
        <item m="1" x="195"/>
        <item m="1" x="278"/>
        <item m="1" x="352"/>
        <item m="1" x="82"/>
        <item m="1" x="160"/>
        <item m="1" x="242"/>
        <item m="1" x="316"/>
        <item m="1" x="46"/>
        <item m="1" x="333"/>
        <item m="1" x="62"/>
        <item m="1" x="108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8">
        <item m="1" x="31"/>
        <item m="1" x="13"/>
        <item x="0"/>
        <item m="1" x="33"/>
        <item m="1" x="15"/>
        <item m="1" x="3"/>
        <item m="1" x="41"/>
        <item m="1" x="39"/>
        <item m="1" x="42"/>
        <item m="1" x="17"/>
        <item m="1" x="43"/>
        <item m="1" x="19"/>
        <item m="1" x="44"/>
        <item m="1" x="22"/>
        <item m="1" x="47"/>
        <item m="1" x="25"/>
        <item m="1" x="4"/>
        <item m="1" x="26"/>
        <item m="1" x="6"/>
        <item m="1" x="29"/>
        <item m="1" x="7"/>
        <item m="1" x="30"/>
        <item m="1" x="35"/>
        <item m="1" x="36"/>
        <item m="1" x="5"/>
        <item m="1" x="9"/>
        <item m="1" x="11"/>
        <item m="1" x="14"/>
        <item m="1" x="16"/>
        <item m="1" x="18"/>
        <item m="1" x="21"/>
        <item m="1" x="24"/>
        <item m="1" x="38"/>
        <item m="1" x="45"/>
        <item m="1" x="37"/>
        <item m="1" x="32"/>
        <item m="1" x="20"/>
        <item m="1" x="12"/>
        <item m="1" x="46"/>
        <item m="1" x="28"/>
        <item m="1" x="8"/>
        <item m="1" x="23"/>
        <item m="1" x="40"/>
        <item m="1" x="27"/>
        <item m="1" x="34"/>
        <item m="1" x="1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1">
        <item m="1" x="17"/>
        <item m="1" x="7"/>
        <item m="1" x="19"/>
        <item x="0"/>
        <item m="1" x="4"/>
        <item m="1" x="8"/>
        <item m="1" x="13"/>
        <item m="1" x="20"/>
        <item m="1" x="23"/>
        <item m="1" x="26"/>
        <item m="1" x="29"/>
        <item m="1" x="30"/>
        <item m="1" x="3"/>
        <item m="1" x="5"/>
        <item m="1" x="6"/>
        <item m="1" x="9"/>
        <item m="1" x="10"/>
        <item m="1" x="11"/>
        <item m="1" x="12"/>
        <item m="1" x="14"/>
        <item m="1" x="15"/>
        <item m="1" x="16"/>
        <item m="1" x="18"/>
        <item m="1" x="21"/>
        <item m="1" x="22"/>
        <item m="1" x="24"/>
        <item m="1" x="25"/>
        <item m="1" x="27"/>
        <item m="1" x="28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3"/>
    <field x="61"/>
    <field x="0"/>
    <field x="2"/>
    <field x="1"/>
  </rowFields>
  <rowItems count="4">
    <i>
      <x v="3"/>
      <x/>
      <x v="84"/>
      <x v="2"/>
      <x v="350"/>
    </i>
    <i>
      <x v="29"/>
      <x/>
      <x v="85"/>
      <x v="47"/>
      <x v="352"/>
    </i>
    <i r="2">
      <x v="86"/>
      <x v="47"/>
      <x v="352"/>
    </i>
    <i>
      <x v="30"/>
      <x/>
      <x v="25"/>
      <x v="46"/>
      <x v="351"/>
    </i>
  </rowItems>
  <colItems count="1">
    <i/>
  </colItems>
  <formats count="208">
    <format dxfId="436">
      <pivotArea type="all" dataOnly="0" outline="0" fieldPosition="0"/>
    </format>
    <format dxfId="435">
      <pivotArea field="0" type="button" dataOnly="0" labelOnly="1" outline="0" axis="axisRow" fieldPosition="2"/>
    </format>
    <format dxfId="434">
      <pivotArea field="2" type="button" dataOnly="0" labelOnly="1" outline="0" axis="axisRow" fieldPosition="3"/>
    </format>
    <format dxfId="433">
      <pivotArea field="1" type="button" dataOnly="0" labelOnly="1" outline="0" axis="axisRow" fieldPosition="4"/>
    </format>
    <format dxfId="432">
      <pivotArea dataOnly="0" labelOnly="1" outline="0" fieldPosition="0">
        <references count="1">
          <reference field="0" count="0"/>
        </references>
      </pivotArea>
    </format>
    <format dxfId="431">
      <pivotArea dataOnly="0" labelOnly="1" outline="0" fieldPosition="0">
        <references count="2">
          <reference field="0" count="1" selected="0">
            <x v="0"/>
          </reference>
          <reference field="2" count="1">
            <x v="4"/>
          </reference>
        </references>
      </pivotArea>
    </format>
    <format dxfId="430">
      <pivotArea dataOnly="0" labelOnly="1" outline="0" fieldPosition="0">
        <references count="2">
          <reference field="0" count="1" selected="0">
            <x v="1"/>
          </reference>
          <reference field="2" count="1">
            <x v="3"/>
          </reference>
        </references>
      </pivotArea>
    </format>
    <format dxfId="429">
      <pivotArea dataOnly="0" labelOnly="1" outline="0" fieldPosition="0">
        <references count="2">
          <reference field="0" count="1" selected="0">
            <x v="4"/>
          </reference>
          <reference field="2" count="1">
            <x v="5"/>
          </reference>
        </references>
      </pivotArea>
    </format>
    <format dxfId="428">
      <pivotArea dataOnly="0" labelOnly="1" outline="0" fieldPosition="0">
        <references count="2">
          <reference field="0" count="1" selected="0">
            <x v="5"/>
          </reference>
          <reference field="2" count="1">
            <x v="4"/>
          </reference>
        </references>
      </pivotArea>
    </format>
    <format dxfId="427">
      <pivotArea dataOnly="0" labelOnly="1" outline="0" fieldPosition="0">
        <references count="2">
          <reference field="0" count="1" selected="0">
            <x v="6"/>
          </reference>
          <reference field="2" count="1">
            <x v="3"/>
          </reference>
        </references>
      </pivotArea>
    </format>
    <format dxfId="426">
      <pivotArea dataOnly="0" labelOnly="1" outline="0" fieldPosition="0">
        <references count="2">
          <reference field="0" count="1" selected="0">
            <x v="8"/>
          </reference>
          <reference field="2" count="1">
            <x v="1"/>
          </reference>
        </references>
      </pivotArea>
    </format>
    <format dxfId="425">
      <pivotArea dataOnly="0" labelOnly="1" outline="0" fieldPosition="0">
        <references count="2">
          <reference field="0" count="1" selected="0">
            <x v="9"/>
          </reference>
          <reference field="2" count="1">
            <x v="2"/>
          </reference>
        </references>
      </pivotArea>
    </format>
    <format dxfId="424">
      <pivotArea dataOnly="0" labelOnly="1" outline="0" fieldPosition="0">
        <references count="2">
          <reference field="0" count="1" selected="0">
            <x v="10"/>
          </reference>
          <reference field="2" count="1">
            <x v="4"/>
          </reference>
        </references>
      </pivotArea>
    </format>
    <format dxfId="423">
      <pivotArea dataOnly="0" labelOnly="1" outline="0" fieldPosition="0">
        <references count="2">
          <reference field="0" count="1" selected="0">
            <x v="11"/>
          </reference>
          <reference field="2" count="1">
            <x v="3"/>
          </reference>
        </references>
      </pivotArea>
    </format>
    <format dxfId="422">
      <pivotArea dataOnly="0" labelOnly="1" outline="0" fieldPosition="0">
        <references count="2">
          <reference field="0" count="1" selected="0">
            <x v="12"/>
          </reference>
          <reference field="2" count="1">
            <x v="2"/>
          </reference>
        </references>
      </pivotArea>
    </format>
    <format dxfId="421">
      <pivotArea dataOnly="0" labelOnly="1" outline="0" fieldPosition="0">
        <references count="2">
          <reference field="0" count="1" selected="0">
            <x v="13"/>
          </reference>
          <reference field="2" count="1">
            <x v="0"/>
          </reference>
        </references>
      </pivotArea>
    </format>
    <format dxfId="420">
      <pivotArea dataOnly="0" labelOnly="1" outline="0" fieldPosition="0">
        <references count="2">
          <reference field="0" count="1" selected="0">
            <x v="14"/>
          </reference>
          <reference field="2" count="1">
            <x v="1"/>
          </reference>
        </references>
      </pivotArea>
    </format>
    <format dxfId="419">
      <pivotArea dataOnly="0" labelOnly="1" outline="0" fieldPosition="0">
        <references count="2">
          <reference field="0" count="1" selected="0">
            <x v="15"/>
          </reference>
          <reference field="2" count="1">
            <x v="6"/>
          </reference>
        </references>
      </pivotArea>
    </format>
    <format dxfId="418">
      <pivotArea dataOnly="0" labelOnly="1" outline="0" fieldPosition="0">
        <references count="2">
          <reference field="0" count="1" selected="0">
            <x v="16"/>
          </reference>
          <reference field="2" count="1">
            <x v="3"/>
          </reference>
        </references>
      </pivotArea>
    </format>
    <format dxfId="417">
      <pivotArea dataOnly="0" labelOnly="1" outline="0" fieldPosition="0">
        <references count="2">
          <reference field="0" count="1" selected="0">
            <x v="17"/>
          </reference>
          <reference field="2" count="1">
            <x v="4"/>
          </reference>
        </references>
      </pivotArea>
    </format>
    <format dxfId="416">
      <pivotArea dataOnly="0" labelOnly="1" outline="0" fieldPosition="0">
        <references count="2">
          <reference field="0" count="1" selected="0">
            <x v="18"/>
          </reference>
          <reference field="2" count="1">
            <x v="1"/>
          </reference>
        </references>
      </pivotArea>
    </format>
    <format dxfId="415">
      <pivotArea dataOnly="0" labelOnly="1" outline="0" fieldPosition="0">
        <references count="2">
          <reference field="0" count="1" selected="0">
            <x v="19"/>
          </reference>
          <reference field="2" count="1">
            <x v="3"/>
          </reference>
        </references>
      </pivotArea>
    </format>
    <format dxfId="414">
      <pivotArea dataOnly="0" labelOnly="1" outline="0" fieldPosition="0">
        <references count="2">
          <reference field="0" count="1" selected="0">
            <x v="21"/>
          </reference>
          <reference field="2" count="1">
            <x v="2"/>
          </reference>
        </references>
      </pivotArea>
    </format>
    <format dxfId="413">
      <pivotArea dataOnly="0" labelOnly="1" outline="0" fieldPosition="0">
        <references count="2">
          <reference field="0" count="1" selected="0">
            <x v="23"/>
          </reference>
          <reference field="2" count="1">
            <x v="3"/>
          </reference>
        </references>
      </pivotArea>
    </format>
    <format dxfId="412">
      <pivotArea dataOnly="0" labelOnly="1" outline="0" fieldPosition="0">
        <references count="2">
          <reference field="0" count="1" selected="0">
            <x v="24"/>
          </reference>
          <reference field="2" count="1">
            <x v="4"/>
          </reference>
        </references>
      </pivotArea>
    </format>
    <format dxfId="411">
      <pivotArea dataOnly="0" labelOnly="1" outline="0" fieldPosition="0">
        <references count="3">
          <reference field="0" count="1" selected="0">
            <x v="0"/>
          </reference>
          <reference field="1" count="1">
            <x v="11"/>
          </reference>
          <reference field="2" count="1" selected="0">
            <x v="4"/>
          </reference>
        </references>
      </pivotArea>
    </format>
    <format dxfId="410">
      <pivotArea dataOnly="0" labelOnly="1" outline="0" fieldPosition="0">
        <references count="3">
          <reference field="0" count="1" selected="0">
            <x v="1"/>
          </reference>
          <reference field="1" count="1">
            <x v="18"/>
          </reference>
          <reference field="2" count="1" selected="0">
            <x v="3"/>
          </reference>
        </references>
      </pivotArea>
    </format>
    <format dxfId="409">
      <pivotArea dataOnly="0" labelOnly="1" outline="0" fieldPosition="0">
        <references count="3">
          <reference field="0" count="1" selected="0">
            <x v="2"/>
          </reference>
          <reference field="1" count="1">
            <x v="14"/>
          </reference>
          <reference field="2" count="1" selected="0">
            <x v="3"/>
          </reference>
        </references>
      </pivotArea>
    </format>
    <format dxfId="408">
      <pivotArea dataOnly="0" labelOnly="1" outline="0" fieldPosition="0">
        <references count="3">
          <reference field="0" count="1" selected="0">
            <x v="3"/>
          </reference>
          <reference field="1" count="1">
            <x v="13"/>
          </reference>
          <reference field="2" count="1" selected="0">
            <x v="3"/>
          </reference>
        </references>
      </pivotArea>
    </format>
    <format dxfId="407">
      <pivotArea dataOnly="0" labelOnly="1" outline="0" fieldPosition="0">
        <references count="3">
          <reference field="0" count="1" selected="0">
            <x v="4"/>
          </reference>
          <reference field="1" count="1">
            <x v="5"/>
          </reference>
          <reference field="2" count="1" selected="0">
            <x v="5"/>
          </reference>
        </references>
      </pivotArea>
    </format>
    <format dxfId="406">
      <pivotArea dataOnly="0" labelOnly="1" outline="0" fieldPosition="0">
        <references count="3">
          <reference field="0" count="1" selected="0">
            <x v="5"/>
          </reference>
          <reference field="1" count="1">
            <x v="7"/>
          </reference>
          <reference field="2" count="1" selected="0">
            <x v="4"/>
          </reference>
        </references>
      </pivotArea>
    </format>
    <format dxfId="405">
      <pivotArea dataOnly="0" labelOnly="1" outline="0" fieldPosition="0">
        <references count="3">
          <reference field="0" count="1" selected="0">
            <x v="6"/>
          </reference>
          <reference field="1" count="1">
            <x v="8"/>
          </reference>
          <reference field="2" count="1" selected="0">
            <x v="3"/>
          </reference>
        </references>
      </pivotArea>
    </format>
    <format dxfId="404">
      <pivotArea dataOnly="0" labelOnly="1" outline="0" fieldPosition="0">
        <references count="3">
          <reference field="0" count="1" selected="0">
            <x v="7"/>
          </reference>
          <reference field="1" count="1">
            <x v="16"/>
          </reference>
          <reference field="2" count="1" selected="0">
            <x v="3"/>
          </reference>
        </references>
      </pivotArea>
    </format>
    <format dxfId="403">
      <pivotArea dataOnly="0" labelOnly="1" outline="0" fieldPosition="0">
        <references count="3">
          <reference field="0" count="1" selected="0">
            <x v="8"/>
          </reference>
          <reference field="1" count="1">
            <x v="21"/>
          </reference>
          <reference field="2" count="1" selected="0">
            <x v="1"/>
          </reference>
        </references>
      </pivotArea>
    </format>
    <format dxfId="402">
      <pivotArea dataOnly="0" labelOnly="1" outline="0" fieldPosition="0">
        <references count="3">
          <reference field="0" count="1" selected="0">
            <x v="9"/>
          </reference>
          <reference field="1" count="1">
            <x v="22"/>
          </reference>
          <reference field="2" count="1" selected="0">
            <x v="2"/>
          </reference>
        </references>
      </pivotArea>
    </format>
    <format dxfId="401">
      <pivotArea dataOnly="0" labelOnly="1" outline="0" fieldPosition="0">
        <references count="3">
          <reference field="0" count="1" selected="0">
            <x v="10"/>
          </reference>
          <reference field="1" count="1">
            <x v="1"/>
          </reference>
          <reference field="2" count="1" selected="0">
            <x v="2"/>
          </reference>
        </references>
      </pivotArea>
    </format>
    <format dxfId="400">
      <pivotArea dataOnly="0" labelOnly="1" outline="0" fieldPosition="0">
        <references count="3">
          <reference field="0" count="1" selected="0">
            <x v="10"/>
          </reference>
          <reference field="1" count="1">
            <x v="0"/>
          </reference>
          <reference field="2" count="1" selected="0">
            <x v="4"/>
          </reference>
        </references>
      </pivotArea>
    </format>
    <format dxfId="399">
      <pivotArea dataOnly="0" labelOnly="1" outline="0" fieldPosition="0">
        <references count="3">
          <reference field="0" count="1" selected="0">
            <x v="11"/>
          </reference>
          <reference field="1" count="1">
            <x v="15"/>
          </reference>
          <reference field="2" count="1" selected="0">
            <x v="3"/>
          </reference>
        </references>
      </pivotArea>
    </format>
    <format dxfId="398">
      <pivotArea dataOnly="0" labelOnly="1" outline="0" fieldPosition="0">
        <references count="3">
          <reference field="0" count="1" selected="0">
            <x v="12"/>
          </reference>
          <reference field="1" count="1">
            <x v="2"/>
          </reference>
          <reference field="2" count="1" selected="0">
            <x v="2"/>
          </reference>
        </references>
      </pivotArea>
    </format>
    <format dxfId="397">
      <pivotArea dataOnly="0" labelOnly="1" outline="0" fieldPosition="0">
        <references count="3">
          <reference field="0" count="1" selected="0">
            <x v="13"/>
          </reference>
          <reference field="1" count="1">
            <x v="25"/>
          </reference>
          <reference field="2" count="1" selected="0">
            <x v="0"/>
          </reference>
        </references>
      </pivotArea>
    </format>
    <format dxfId="396">
      <pivotArea dataOnly="0" labelOnly="1" outline="0" fieldPosition="0">
        <references count="3">
          <reference field="0" count="1" selected="0">
            <x v="14"/>
          </reference>
          <reference field="1" count="1">
            <x v="20"/>
          </reference>
          <reference field="2" count="1" selected="0">
            <x v="1"/>
          </reference>
        </references>
      </pivotArea>
    </format>
    <format dxfId="395">
      <pivotArea dataOnly="0" labelOnly="1" outline="0" fieldPosition="0">
        <references count="3">
          <reference field="0" count="1" selected="0">
            <x v="15"/>
          </reference>
          <reference field="1" count="1">
            <x v="4"/>
          </reference>
          <reference field="2" count="1" selected="0">
            <x v="6"/>
          </reference>
        </references>
      </pivotArea>
    </format>
    <format dxfId="394">
      <pivotArea dataOnly="0" labelOnly="1" outline="0" fieldPosition="0">
        <references count="3">
          <reference field="0" count="1" selected="0">
            <x v="16"/>
          </reference>
          <reference field="1" count="1">
            <x v="10"/>
          </reference>
          <reference field="2" count="1" selected="0">
            <x v="3"/>
          </reference>
        </references>
      </pivotArea>
    </format>
    <format dxfId="393">
      <pivotArea dataOnly="0" labelOnly="1" outline="0" fieldPosition="0">
        <references count="3">
          <reference field="0" count="1" selected="0">
            <x v="17"/>
          </reference>
          <reference field="1" count="1">
            <x v="6"/>
          </reference>
          <reference field="2" count="1" selected="0">
            <x v="4"/>
          </reference>
        </references>
      </pivotArea>
    </format>
    <format dxfId="392">
      <pivotArea dataOnly="0" labelOnly="1" outline="0" fieldPosition="0">
        <references count="3">
          <reference field="0" count="1" selected="0">
            <x v="18"/>
          </reference>
          <reference field="1" count="1">
            <x v="26"/>
          </reference>
          <reference field="2" count="1" selected="0">
            <x v="1"/>
          </reference>
        </references>
      </pivotArea>
    </format>
    <format dxfId="391">
      <pivotArea dataOnly="0" labelOnly="1" outline="0" fieldPosition="0">
        <references count="3">
          <reference field="0" count="1" selected="0">
            <x v="19"/>
          </reference>
          <reference field="1" count="1">
            <x v="17"/>
          </reference>
          <reference field="2" count="1" selected="0">
            <x v="3"/>
          </reference>
        </references>
      </pivotArea>
    </format>
    <format dxfId="390">
      <pivotArea dataOnly="0" labelOnly="1" outline="0" fieldPosition="0">
        <references count="3">
          <reference field="0" count="1" selected="0">
            <x v="20"/>
          </reference>
          <reference field="1" count="1">
            <x v="9"/>
          </reference>
          <reference field="2" count="1" selected="0">
            <x v="3"/>
          </reference>
        </references>
      </pivotArea>
    </format>
    <format dxfId="389">
      <pivotArea dataOnly="0" labelOnly="1" outline="0" fieldPosition="0">
        <references count="3">
          <reference field="0" count="1" selected="0">
            <x v="21"/>
          </reference>
          <reference field="1" count="1">
            <x v="12"/>
          </reference>
          <reference field="2" count="1" selected="0">
            <x v="2"/>
          </reference>
        </references>
      </pivotArea>
    </format>
    <format dxfId="388">
      <pivotArea dataOnly="0" labelOnly="1" outline="0" fieldPosition="0">
        <references count="3">
          <reference field="0" count="1" selected="0">
            <x v="22"/>
          </reference>
          <reference field="1" count="1">
            <x v="19"/>
          </reference>
          <reference field="2" count="1" selected="0">
            <x v="2"/>
          </reference>
        </references>
      </pivotArea>
    </format>
    <format dxfId="387">
      <pivotArea dataOnly="0" labelOnly="1" outline="0" fieldPosition="0">
        <references count="3">
          <reference field="0" count="1" selected="0">
            <x v="23"/>
          </reference>
          <reference field="1" count="1">
            <x v="24"/>
          </reference>
          <reference field="2" count="1" selected="0">
            <x v="2"/>
          </reference>
        </references>
      </pivotArea>
    </format>
    <format dxfId="386">
      <pivotArea dataOnly="0" labelOnly="1" outline="0" fieldPosition="0">
        <references count="3">
          <reference field="0" count="1" selected="0">
            <x v="23"/>
          </reference>
          <reference field="1" count="1">
            <x v="23"/>
          </reference>
          <reference field="2" count="1" selected="0">
            <x v="3"/>
          </reference>
        </references>
      </pivotArea>
    </format>
    <format dxfId="385">
      <pivotArea dataOnly="0" labelOnly="1" outline="0" fieldPosition="0">
        <references count="3">
          <reference field="0" count="1" selected="0">
            <x v="24"/>
          </reference>
          <reference field="1" count="1">
            <x v="3"/>
          </reference>
          <reference field="2" count="1" selected="0">
            <x v="4"/>
          </reference>
        </references>
      </pivotArea>
    </format>
    <format dxfId="384">
      <pivotArea type="all" dataOnly="0" outline="0" fieldPosition="0"/>
    </format>
    <format dxfId="383">
      <pivotArea field="0" type="button" dataOnly="0" labelOnly="1" outline="0" axis="axisRow" fieldPosition="2"/>
    </format>
    <format dxfId="382">
      <pivotArea field="2" type="button" dataOnly="0" labelOnly="1" outline="0" axis="axisRow" fieldPosition="3"/>
    </format>
    <format dxfId="381">
      <pivotArea field="1" type="button" dataOnly="0" labelOnly="1" outline="0" axis="axisRow" fieldPosition="4"/>
    </format>
    <format dxfId="380">
      <pivotArea dataOnly="0" labelOnly="1" outline="0" fieldPosition="0">
        <references count="1">
          <reference field="0" count="0"/>
        </references>
      </pivotArea>
    </format>
    <format dxfId="379">
      <pivotArea dataOnly="0" labelOnly="1" outline="0" fieldPosition="0">
        <references count="2">
          <reference field="0" count="1" selected="0">
            <x v="0"/>
          </reference>
          <reference field="2" count="1">
            <x v="4"/>
          </reference>
        </references>
      </pivotArea>
    </format>
    <format dxfId="378">
      <pivotArea dataOnly="0" labelOnly="1" outline="0" fieldPosition="0">
        <references count="2">
          <reference field="0" count="1" selected="0">
            <x v="1"/>
          </reference>
          <reference field="2" count="1">
            <x v="3"/>
          </reference>
        </references>
      </pivotArea>
    </format>
    <format dxfId="377">
      <pivotArea dataOnly="0" labelOnly="1" outline="0" fieldPosition="0">
        <references count="2">
          <reference field="0" count="1" selected="0">
            <x v="4"/>
          </reference>
          <reference field="2" count="1">
            <x v="5"/>
          </reference>
        </references>
      </pivotArea>
    </format>
    <format dxfId="376">
      <pivotArea dataOnly="0" labelOnly="1" outline="0" fieldPosition="0">
        <references count="2">
          <reference field="0" count="1" selected="0">
            <x v="5"/>
          </reference>
          <reference field="2" count="1">
            <x v="4"/>
          </reference>
        </references>
      </pivotArea>
    </format>
    <format dxfId="375">
      <pivotArea dataOnly="0" labelOnly="1" outline="0" fieldPosition="0">
        <references count="2">
          <reference field="0" count="1" selected="0">
            <x v="6"/>
          </reference>
          <reference field="2" count="1">
            <x v="3"/>
          </reference>
        </references>
      </pivotArea>
    </format>
    <format dxfId="374">
      <pivotArea dataOnly="0" labelOnly="1" outline="0" fieldPosition="0">
        <references count="2">
          <reference field="0" count="1" selected="0">
            <x v="8"/>
          </reference>
          <reference field="2" count="1">
            <x v="1"/>
          </reference>
        </references>
      </pivotArea>
    </format>
    <format dxfId="373">
      <pivotArea dataOnly="0" labelOnly="1" outline="0" fieldPosition="0">
        <references count="2">
          <reference field="0" count="1" selected="0">
            <x v="9"/>
          </reference>
          <reference field="2" count="1">
            <x v="2"/>
          </reference>
        </references>
      </pivotArea>
    </format>
    <format dxfId="372">
      <pivotArea dataOnly="0" labelOnly="1" outline="0" fieldPosition="0">
        <references count="2">
          <reference field="0" count="1" selected="0">
            <x v="10"/>
          </reference>
          <reference field="2" count="1">
            <x v="4"/>
          </reference>
        </references>
      </pivotArea>
    </format>
    <format dxfId="371">
      <pivotArea dataOnly="0" labelOnly="1" outline="0" fieldPosition="0">
        <references count="2">
          <reference field="0" count="1" selected="0">
            <x v="11"/>
          </reference>
          <reference field="2" count="1">
            <x v="3"/>
          </reference>
        </references>
      </pivotArea>
    </format>
    <format dxfId="370">
      <pivotArea dataOnly="0" labelOnly="1" outline="0" fieldPosition="0">
        <references count="2">
          <reference field="0" count="1" selected="0">
            <x v="12"/>
          </reference>
          <reference field="2" count="1">
            <x v="2"/>
          </reference>
        </references>
      </pivotArea>
    </format>
    <format dxfId="369">
      <pivotArea dataOnly="0" labelOnly="1" outline="0" fieldPosition="0">
        <references count="2">
          <reference field="0" count="1" selected="0">
            <x v="13"/>
          </reference>
          <reference field="2" count="1">
            <x v="0"/>
          </reference>
        </references>
      </pivotArea>
    </format>
    <format dxfId="368">
      <pivotArea dataOnly="0" labelOnly="1" outline="0" fieldPosition="0">
        <references count="2">
          <reference field="0" count="1" selected="0">
            <x v="14"/>
          </reference>
          <reference field="2" count="1">
            <x v="1"/>
          </reference>
        </references>
      </pivotArea>
    </format>
    <format dxfId="367">
      <pivotArea dataOnly="0" labelOnly="1" outline="0" fieldPosition="0">
        <references count="2">
          <reference field="0" count="1" selected="0">
            <x v="15"/>
          </reference>
          <reference field="2" count="1">
            <x v="6"/>
          </reference>
        </references>
      </pivotArea>
    </format>
    <format dxfId="366">
      <pivotArea dataOnly="0" labelOnly="1" outline="0" fieldPosition="0">
        <references count="2">
          <reference field="0" count="1" selected="0">
            <x v="16"/>
          </reference>
          <reference field="2" count="1">
            <x v="3"/>
          </reference>
        </references>
      </pivotArea>
    </format>
    <format dxfId="365">
      <pivotArea dataOnly="0" labelOnly="1" outline="0" fieldPosition="0">
        <references count="2">
          <reference field="0" count="1" selected="0">
            <x v="17"/>
          </reference>
          <reference field="2" count="1">
            <x v="4"/>
          </reference>
        </references>
      </pivotArea>
    </format>
    <format dxfId="364">
      <pivotArea dataOnly="0" labelOnly="1" outline="0" fieldPosition="0">
        <references count="2">
          <reference field="0" count="1" selected="0">
            <x v="18"/>
          </reference>
          <reference field="2" count="1">
            <x v="1"/>
          </reference>
        </references>
      </pivotArea>
    </format>
    <format dxfId="363">
      <pivotArea dataOnly="0" labelOnly="1" outline="0" fieldPosition="0">
        <references count="2">
          <reference field="0" count="1" selected="0">
            <x v="19"/>
          </reference>
          <reference field="2" count="1">
            <x v="3"/>
          </reference>
        </references>
      </pivotArea>
    </format>
    <format dxfId="362">
      <pivotArea dataOnly="0" labelOnly="1" outline="0" fieldPosition="0">
        <references count="2">
          <reference field="0" count="1" selected="0">
            <x v="21"/>
          </reference>
          <reference field="2" count="1">
            <x v="2"/>
          </reference>
        </references>
      </pivotArea>
    </format>
    <format dxfId="361">
      <pivotArea dataOnly="0" labelOnly="1" outline="0" fieldPosition="0">
        <references count="2">
          <reference field="0" count="1" selected="0">
            <x v="23"/>
          </reference>
          <reference field="2" count="1">
            <x v="3"/>
          </reference>
        </references>
      </pivotArea>
    </format>
    <format dxfId="360">
      <pivotArea dataOnly="0" labelOnly="1" outline="0" fieldPosition="0">
        <references count="2">
          <reference field="0" count="1" selected="0">
            <x v="24"/>
          </reference>
          <reference field="2" count="1">
            <x v="4"/>
          </reference>
        </references>
      </pivotArea>
    </format>
    <format dxfId="359">
      <pivotArea dataOnly="0" labelOnly="1" outline="0" fieldPosition="0">
        <references count="3">
          <reference field="0" count="1" selected="0">
            <x v="0"/>
          </reference>
          <reference field="1" count="1">
            <x v="11"/>
          </reference>
          <reference field="2" count="1" selected="0">
            <x v="4"/>
          </reference>
        </references>
      </pivotArea>
    </format>
    <format dxfId="358">
      <pivotArea dataOnly="0" labelOnly="1" outline="0" fieldPosition="0">
        <references count="3">
          <reference field="0" count="1" selected="0">
            <x v="1"/>
          </reference>
          <reference field="1" count="1">
            <x v="18"/>
          </reference>
          <reference field="2" count="1" selected="0">
            <x v="3"/>
          </reference>
        </references>
      </pivotArea>
    </format>
    <format dxfId="357">
      <pivotArea dataOnly="0" labelOnly="1" outline="0" fieldPosition="0">
        <references count="3">
          <reference field="0" count="1" selected="0">
            <x v="2"/>
          </reference>
          <reference field="1" count="1">
            <x v="14"/>
          </reference>
          <reference field="2" count="1" selected="0">
            <x v="3"/>
          </reference>
        </references>
      </pivotArea>
    </format>
    <format dxfId="356">
      <pivotArea dataOnly="0" labelOnly="1" outline="0" fieldPosition="0">
        <references count="3">
          <reference field="0" count="1" selected="0">
            <x v="3"/>
          </reference>
          <reference field="1" count="1">
            <x v="13"/>
          </reference>
          <reference field="2" count="1" selected="0">
            <x v="3"/>
          </reference>
        </references>
      </pivotArea>
    </format>
    <format dxfId="355">
      <pivotArea dataOnly="0" labelOnly="1" outline="0" fieldPosition="0">
        <references count="3">
          <reference field="0" count="1" selected="0">
            <x v="4"/>
          </reference>
          <reference field="1" count="1">
            <x v="5"/>
          </reference>
          <reference field="2" count="1" selected="0">
            <x v="5"/>
          </reference>
        </references>
      </pivotArea>
    </format>
    <format dxfId="354">
      <pivotArea dataOnly="0" labelOnly="1" outline="0" fieldPosition="0">
        <references count="3">
          <reference field="0" count="1" selected="0">
            <x v="5"/>
          </reference>
          <reference field="1" count="1">
            <x v="7"/>
          </reference>
          <reference field="2" count="1" selected="0">
            <x v="4"/>
          </reference>
        </references>
      </pivotArea>
    </format>
    <format dxfId="353">
      <pivotArea dataOnly="0" labelOnly="1" outline="0" fieldPosition="0">
        <references count="3">
          <reference field="0" count="1" selected="0">
            <x v="6"/>
          </reference>
          <reference field="1" count="1">
            <x v="8"/>
          </reference>
          <reference field="2" count="1" selected="0">
            <x v="3"/>
          </reference>
        </references>
      </pivotArea>
    </format>
    <format dxfId="352">
      <pivotArea dataOnly="0" labelOnly="1" outline="0" fieldPosition="0">
        <references count="3">
          <reference field="0" count="1" selected="0">
            <x v="7"/>
          </reference>
          <reference field="1" count="1">
            <x v="16"/>
          </reference>
          <reference field="2" count="1" selected="0">
            <x v="3"/>
          </reference>
        </references>
      </pivotArea>
    </format>
    <format dxfId="351">
      <pivotArea dataOnly="0" labelOnly="1" outline="0" fieldPosition="0">
        <references count="3">
          <reference field="0" count="1" selected="0">
            <x v="8"/>
          </reference>
          <reference field="1" count="1">
            <x v="21"/>
          </reference>
          <reference field="2" count="1" selected="0">
            <x v="1"/>
          </reference>
        </references>
      </pivotArea>
    </format>
    <format dxfId="350">
      <pivotArea dataOnly="0" labelOnly="1" outline="0" fieldPosition="0">
        <references count="3">
          <reference field="0" count="1" selected="0">
            <x v="9"/>
          </reference>
          <reference field="1" count="1">
            <x v="22"/>
          </reference>
          <reference field="2" count="1" selected="0">
            <x v="2"/>
          </reference>
        </references>
      </pivotArea>
    </format>
    <format dxfId="349">
      <pivotArea dataOnly="0" labelOnly="1" outline="0" fieldPosition="0">
        <references count="3">
          <reference field="0" count="1" selected="0">
            <x v="10"/>
          </reference>
          <reference field="1" count="1">
            <x v="1"/>
          </reference>
          <reference field="2" count="1" selected="0">
            <x v="2"/>
          </reference>
        </references>
      </pivotArea>
    </format>
    <format dxfId="348">
      <pivotArea dataOnly="0" labelOnly="1" outline="0" fieldPosition="0">
        <references count="3">
          <reference field="0" count="1" selected="0">
            <x v="10"/>
          </reference>
          <reference field="1" count="1">
            <x v="0"/>
          </reference>
          <reference field="2" count="1" selected="0">
            <x v="4"/>
          </reference>
        </references>
      </pivotArea>
    </format>
    <format dxfId="347">
      <pivotArea dataOnly="0" labelOnly="1" outline="0" fieldPosition="0">
        <references count="3">
          <reference field="0" count="1" selected="0">
            <x v="11"/>
          </reference>
          <reference field="1" count="1">
            <x v="15"/>
          </reference>
          <reference field="2" count="1" selected="0">
            <x v="3"/>
          </reference>
        </references>
      </pivotArea>
    </format>
    <format dxfId="346">
      <pivotArea dataOnly="0" labelOnly="1" outline="0" fieldPosition="0">
        <references count="3">
          <reference field="0" count="1" selected="0">
            <x v="12"/>
          </reference>
          <reference field="1" count="1">
            <x v="2"/>
          </reference>
          <reference field="2" count="1" selected="0">
            <x v="2"/>
          </reference>
        </references>
      </pivotArea>
    </format>
    <format dxfId="345">
      <pivotArea dataOnly="0" labelOnly="1" outline="0" fieldPosition="0">
        <references count="3">
          <reference field="0" count="1" selected="0">
            <x v="13"/>
          </reference>
          <reference field="1" count="1">
            <x v="25"/>
          </reference>
          <reference field="2" count="1" selected="0">
            <x v="0"/>
          </reference>
        </references>
      </pivotArea>
    </format>
    <format dxfId="344">
      <pivotArea dataOnly="0" labelOnly="1" outline="0" fieldPosition="0">
        <references count="3">
          <reference field="0" count="1" selected="0">
            <x v="14"/>
          </reference>
          <reference field="1" count="1">
            <x v="20"/>
          </reference>
          <reference field="2" count="1" selected="0">
            <x v="1"/>
          </reference>
        </references>
      </pivotArea>
    </format>
    <format dxfId="343">
      <pivotArea dataOnly="0" labelOnly="1" outline="0" fieldPosition="0">
        <references count="3">
          <reference field="0" count="1" selected="0">
            <x v="15"/>
          </reference>
          <reference field="1" count="1">
            <x v="4"/>
          </reference>
          <reference field="2" count="1" selected="0">
            <x v="6"/>
          </reference>
        </references>
      </pivotArea>
    </format>
    <format dxfId="342">
      <pivotArea dataOnly="0" labelOnly="1" outline="0" fieldPosition="0">
        <references count="3">
          <reference field="0" count="1" selected="0">
            <x v="16"/>
          </reference>
          <reference field="1" count="1">
            <x v="10"/>
          </reference>
          <reference field="2" count="1" selected="0">
            <x v="3"/>
          </reference>
        </references>
      </pivotArea>
    </format>
    <format dxfId="341">
      <pivotArea dataOnly="0" labelOnly="1" outline="0" fieldPosition="0">
        <references count="3">
          <reference field="0" count="1" selected="0">
            <x v="17"/>
          </reference>
          <reference field="1" count="1">
            <x v="6"/>
          </reference>
          <reference field="2" count="1" selected="0">
            <x v="4"/>
          </reference>
        </references>
      </pivotArea>
    </format>
    <format dxfId="340">
      <pivotArea dataOnly="0" labelOnly="1" outline="0" fieldPosition="0">
        <references count="3">
          <reference field="0" count="1" selected="0">
            <x v="18"/>
          </reference>
          <reference field="1" count="1">
            <x v="26"/>
          </reference>
          <reference field="2" count="1" selected="0">
            <x v="1"/>
          </reference>
        </references>
      </pivotArea>
    </format>
    <format dxfId="339">
      <pivotArea dataOnly="0" labelOnly="1" outline="0" fieldPosition="0">
        <references count="3">
          <reference field="0" count="1" selected="0">
            <x v="19"/>
          </reference>
          <reference field="1" count="1">
            <x v="17"/>
          </reference>
          <reference field="2" count="1" selected="0">
            <x v="3"/>
          </reference>
        </references>
      </pivotArea>
    </format>
    <format dxfId="338">
      <pivotArea dataOnly="0" labelOnly="1" outline="0" fieldPosition="0">
        <references count="3">
          <reference field="0" count="1" selected="0">
            <x v="20"/>
          </reference>
          <reference field="1" count="1">
            <x v="9"/>
          </reference>
          <reference field="2" count="1" selected="0">
            <x v="3"/>
          </reference>
        </references>
      </pivotArea>
    </format>
    <format dxfId="337">
      <pivotArea dataOnly="0" labelOnly="1" outline="0" fieldPosition="0">
        <references count="3">
          <reference field="0" count="1" selected="0">
            <x v="21"/>
          </reference>
          <reference field="1" count="1">
            <x v="12"/>
          </reference>
          <reference field="2" count="1" selected="0">
            <x v="2"/>
          </reference>
        </references>
      </pivotArea>
    </format>
    <format dxfId="336">
      <pivotArea dataOnly="0" labelOnly="1" outline="0" fieldPosition="0">
        <references count="3">
          <reference field="0" count="1" selected="0">
            <x v="22"/>
          </reference>
          <reference field="1" count="1">
            <x v="19"/>
          </reference>
          <reference field="2" count="1" selected="0">
            <x v="2"/>
          </reference>
        </references>
      </pivotArea>
    </format>
    <format dxfId="335">
      <pivotArea dataOnly="0" labelOnly="1" outline="0" fieldPosition="0">
        <references count="3">
          <reference field="0" count="1" selected="0">
            <x v="23"/>
          </reference>
          <reference field="1" count="1">
            <x v="24"/>
          </reference>
          <reference field="2" count="1" selected="0">
            <x v="2"/>
          </reference>
        </references>
      </pivotArea>
    </format>
    <format dxfId="334">
      <pivotArea dataOnly="0" labelOnly="1" outline="0" fieldPosition="0">
        <references count="3">
          <reference field="0" count="1" selected="0">
            <x v="23"/>
          </reference>
          <reference field="1" count="1">
            <x v="23"/>
          </reference>
          <reference field="2" count="1" selected="0">
            <x v="3"/>
          </reference>
        </references>
      </pivotArea>
    </format>
    <format dxfId="333">
      <pivotArea dataOnly="0" labelOnly="1" outline="0" fieldPosition="0">
        <references count="3">
          <reference field="0" count="1" selected="0">
            <x v="24"/>
          </reference>
          <reference field="1" count="1">
            <x v="3"/>
          </reference>
          <reference field="2" count="1" selected="0">
            <x v="4"/>
          </reference>
        </references>
      </pivotArea>
    </format>
    <format dxfId="332">
      <pivotArea type="all" dataOnly="0" outline="0" fieldPosition="0"/>
    </format>
    <format dxfId="331">
      <pivotArea field="0" type="button" dataOnly="0" labelOnly="1" outline="0" axis="axisRow" fieldPosition="2"/>
    </format>
    <format dxfId="330">
      <pivotArea field="2" type="button" dataOnly="0" labelOnly="1" outline="0" axis="axisRow" fieldPosition="3"/>
    </format>
    <format dxfId="329">
      <pivotArea field="1" type="button" dataOnly="0" labelOnly="1" outline="0" axis="axisRow" fieldPosition="4"/>
    </format>
    <format dxfId="328">
      <pivotArea dataOnly="0" labelOnly="1" outline="0" fieldPosition="0">
        <references count="1">
          <reference field="0" count="0"/>
        </references>
      </pivotArea>
    </format>
    <format dxfId="327">
      <pivotArea dataOnly="0" labelOnly="1" outline="0" fieldPosition="0">
        <references count="2">
          <reference field="0" count="1" selected="0">
            <x v="0"/>
          </reference>
          <reference field="2" count="1">
            <x v="4"/>
          </reference>
        </references>
      </pivotArea>
    </format>
    <format dxfId="326">
      <pivotArea dataOnly="0" labelOnly="1" outline="0" fieldPosition="0">
        <references count="2">
          <reference field="0" count="1" selected="0">
            <x v="1"/>
          </reference>
          <reference field="2" count="1">
            <x v="3"/>
          </reference>
        </references>
      </pivotArea>
    </format>
    <format dxfId="325">
      <pivotArea dataOnly="0" labelOnly="1" outline="0" fieldPosition="0">
        <references count="2">
          <reference field="0" count="1" selected="0">
            <x v="4"/>
          </reference>
          <reference field="2" count="1">
            <x v="5"/>
          </reference>
        </references>
      </pivotArea>
    </format>
    <format dxfId="324">
      <pivotArea dataOnly="0" labelOnly="1" outline="0" fieldPosition="0">
        <references count="2">
          <reference field="0" count="1" selected="0">
            <x v="5"/>
          </reference>
          <reference field="2" count="1">
            <x v="4"/>
          </reference>
        </references>
      </pivotArea>
    </format>
    <format dxfId="323">
      <pivotArea dataOnly="0" labelOnly="1" outline="0" fieldPosition="0">
        <references count="2">
          <reference field="0" count="1" selected="0">
            <x v="6"/>
          </reference>
          <reference field="2" count="1">
            <x v="3"/>
          </reference>
        </references>
      </pivotArea>
    </format>
    <format dxfId="322">
      <pivotArea dataOnly="0" labelOnly="1" outline="0" fieldPosition="0">
        <references count="2">
          <reference field="0" count="1" selected="0">
            <x v="8"/>
          </reference>
          <reference field="2" count="1">
            <x v="1"/>
          </reference>
        </references>
      </pivotArea>
    </format>
    <format dxfId="321">
      <pivotArea dataOnly="0" labelOnly="1" outline="0" fieldPosition="0">
        <references count="2">
          <reference field="0" count="1" selected="0">
            <x v="9"/>
          </reference>
          <reference field="2" count="1">
            <x v="2"/>
          </reference>
        </references>
      </pivotArea>
    </format>
    <format dxfId="320">
      <pivotArea dataOnly="0" labelOnly="1" outline="0" fieldPosition="0">
        <references count="2">
          <reference field="0" count="1" selected="0">
            <x v="10"/>
          </reference>
          <reference field="2" count="1">
            <x v="4"/>
          </reference>
        </references>
      </pivotArea>
    </format>
    <format dxfId="319">
      <pivotArea dataOnly="0" labelOnly="1" outline="0" fieldPosition="0">
        <references count="2">
          <reference field="0" count="1" selected="0">
            <x v="11"/>
          </reference>
          <reference field="2" count="1">
            <x v="3"/>
          </reference>
        </references>
      </pivotArea>
    </format>
    <format dxfId="318">
      <pivotArea dataOnly="0" labelOnly="1" outline="0" fieldPosition="0">
        <references count="2">
          <reference field="0" count="1" selected="0">
            <x v="12"/>
          </reference>
          <reference field="2" count="1">
            <x v="2"/>
          </reference>
        </references>
      </pivotArea>
    </format>
    <format dxfId="317">
      <pivotArea dataOnly="0" labelOnly="1" outline="0" fieldPosition="0">
        <references count="2">
          <reference field="0" count="1" selected="0">
            <x v="13"/>
          </reference>
          <reference field="2" count="1">
            <x v="0"/>
          </reference>
        </references>
      </pivotArea>
    </format>
    <format dxfId="316">
      <pivotArea dataOnly="0" labelOnly="1" outline="0" fieldPosition="0">
        <references count="2">
          <reference field="0" count="1" selected="0">
            <x v="14"/>
          </reference>
          <reference field="2" count="1">
            <x v="1"/>
          </reference>
        </references>
      </pivotArea>
    </format>
    <format dxfId="315">
      <pivotArea dataOnly="0" labelOnly="1" outline="0" fieldPosition="0">
        <references count="2">
          <reference field="0" count="1" selected="0">
            <x v="15"/>
          </reference>
          <reference field="2" count="1">
            <x v="6"/>
          </reference>
        </references>
      </pivotArea>
    </format>
    <format dxfId="314">
      <pivotArea dataOnly="0" labelOnly="1" outline="0" fieldPosition="0">
        <references count="2">
          <reference field="0" count="1" selected="0">
            <x v="16"/>
          </reference>
          <reference field="2" count="1">
            <x v="3"/>
          </reference>
        </references>
      </pivotArea>
    </format>
    <format dxfId="313">
      <pivotArea dataOnly="0" labelOnly="1" outline="0" fieldPosition="0">
        <references count="2">
          <reference field="0" count="1" selected="0">
            <x v="17"/>
          </reference>
          <reference field="2" count="1">
            <x v="4"/>
          </reference>
        </references>
      </pivotArea>
    </format>
    <format dxfId="312">
      <pivotArea dataOnly="0" labelOnly="1" outline="0" fieldPosition="0">
        <references count="2">
          <reference field="0" count="1" selected="0">
            <x v="18"/>
          </reference>
          <reference field="2" count="1">
            <x v="1"/>
          </reference>
        </references>
      </pivotArea>
    </format>
    <format dxfId="311">
      <pivotArea dataOnly="0" labelOnly="1" outline="0" fieldPosition="0">
        <references count="2">
          <reference field="0" count="1" selected="0">
            <x v="19"/>
          </reference>
          <reference field="2" count="1">
            <x v="3"/>
          </reference>
        </references>
      </pivotArea>
    </format>
    <format dxfId="310">
      <pivotArea dataOnly="0" labelOnly="1" outline="0" fieldPosition="0">
        <references count="2">
          <reference field="0" count="1" selected="0">
            <x v="21"/>
          </reference>
          <reference field="2" count="1">
            <x v="2"/>
          </reference>
        </references>
      </pivotArea>
    </format>
    <format dxfId="309">
      <pivotArea dataOnly="0" labelOnly="1" outline="0" fieldPosition="0">
        <references count="2">
          <reference field="0" count="1" selected="0">
            <x v="23"/>
          </reference>
          <reference field="2" count="1">
            <x v="3"/>
          </reference>
        </references>
      </pivotArea>
    </format>
    <format dxfId="308">
      <pivotArea dataOnly="0" labelOnly="1" outline="0" fieldPosition="0">
        <references count="2">
          <reference field="0" count="1" selected="0">
            <x v="24"/>
          </reference>
          <reference field="2" count="1">
            <x v="4"/>
          </reference>
        </references>
      </pivotArea>
    </format>
    <format dxfId="307">
      <pivotArea dataOnly="0" labelOnly="1" outline="0" fieldPosition="0">
        <references count="3">
          <reference field="0" count="1" selected="0">
            <x v="0"/>
          </reference>
          <reference field="1" count="1">
            <x v="11"/>
          </reference>
          <reference field="2" count="1" selected="0">
            <x v="4"/>
          </reference>
        </references>
      </pivotArea>
    </format>
    <format dxfId="306">
      <pivotArea dataOnly="0" labelOnly="1" outline="0" fieldPosition="0">
        <references count="3">
          <reference field="0" count="1" selected="0">
            <x v="1"/>
          </reference>
          <reference field="1" count="1">
            <x v="18"/>
          </reference>
          <reference field="2" count="1" selected="0">
            <x v="3"/>
          </reference>
        </references>
      </pivotArea>
    </format>
    <format dxfId="305">
      <pivotArea dataOnly="0" labelOnly="1" outline="0" fieldPosition="0">
        <references count="3">
          <reference field="0" count="1" selected="0">
            <x v="2"/>
          </reference>
          <reference field="1" count="1">
            <x v="14"/>
          </reference>
          <reference field="2" count="1" selected="0">
            <x v="3"/>
          </reference>
        </references>
      </pivotArea>
    </format>
    <format dxfId="304">
      <pivotArea dataOnly="0" labelOnly="1" outline="0" fieldPosition="0">
        <references count="3">
          <reference field="0" count="1" selected="0">
            <x v="3"/>
          </reference>
          <reference field="1" count="1">
            <x v="13"/>
          </reference>
          <reference field="2" count="1" selected="0">
            <x v="3"/>
          </reference>
        </references>
      </pivotArea>
    </format>
    <format dxfId="303">
      <pivotArea dataOnly="0" labelOnly="1" outline="0" fieldPosition="0">
        <references count="3">
          <reference field="0" count="1" selected="0">
            <x v="4"/>
          </reference>
          <reference field="1" count="1">
            <x v="5"/>
          </reference>
          <reference field="2" count="1" selected="0">
            <x v="5"/>
          </reference>
        </references>
      </pivotArea>
    </format>
    <format dxfId="302">
      <pivotArea dataOnly="0" labelOnly="1" outline="0" fieldPosition="0">
        <references count="3">
          <reference field="0" count="1" selected="0">
            <x v="5"/>
          </reference>
          <reference field="1" count="1">
            <x v="7"/>
          </reference>
          <reference field="2" count="1" selected="0">
            <x v="4"/>
          </reference>
        </references>
      </pivotArea>
    </format>
    <format dxfId="301">
      <pivotArea dataOnly="0" labelOnly="1" outline="0" fieldPosition="0">
        <references count="3">
          <reference field="0" count="1" selected="0">
            <x v="6"/>
          </reference>
          <reference field="1" count="1">
            <x v="8"/>
          </reference>
          <reference field="2" count="1" selected="0">
            <x v="3"/>
          </reference>
        </references>
      </pivotArea>
    </format>
    <format dxfId="300">
      <pivotArea dataOnly="0" labelOnly="1" outline="0" fieldPosition="0">
        <references count="3">
          <reference field="0" count="1" selected="0">
            <x v="7"/>
          </reference>
          <reference field="1" count="1">
            <x v="16"/>
          </reference>
          <reference field="2" count="1" selected="0">
            <x v="3"/>
          </reference>
        </references>
      </pivotArea>
    </format>
    <format dxfId="299">
      <pivotArea dataOnly="0" labelOnly="1" outline="0" fieldPosition="0">
        <references count="3">
          <reference field="0" count="1" selected="0">
            <x v="8"/>
          </reference>
          <reference field="1" count="1">
            <x v="21"/>
          </reference>
          <reference field="2" count="1" selected="0">
            <x v="1"/>
          </reference>
        </references>
      </pivotArea>
    </format>
    <format dxfId="298">
      <pivotArea dataOnly="0" labelOnly="1" outline="0" fieldPosition="0">
        <references count="3">
          <reference field="0" count="1" selected="0">
            <x v="9"/>
          </reference>
          <reference field="1" count="1">
            <x v="22"/>
          </reference>
          <reference field="2" count="1" selected="0">
            <x v="2"/>
          </reference>
        </references>
      </pivotArea>
    </format>
    <format dxfId="297">
      <pivotArea dataOnly="0" labelOnly="1" outline="0" fieldPosition="0">
        <references count="3">
          <reference field="0" count="1" selected="0">
            <x v="10"/>
          </reference>
          <reference field="1" count="1">
            <x v="1"/>
          </reference>
          <reference field="2" count="1" selected="0">
            <x v="2"/>
          </reference>
        </references>
      </pivotArea>
    </format>
    <format dxfId="296">
      <pivotArea dataOnly="0" labelOnly="1" outline="0" fieldPosition="0">
        <references count="3">
          <reference field="0" count="1" selected="0">
            <x v="10"/>
          </reference>
          <reference field="1" count="1">
            <x v="0"/>
          </reference>
          <reference field="2" count="1" selected="0">
            <x v="4"/>
          </reference>
        </references>
      </pivotArea>
    </format>
    <format dxfId="295">
      <pivotArea dataOnly="0" labelOnly="1" outline="0" fieldPosition="0">
        <references count="3">
          <reference field="0" count="1" selected="0">
            <x v="11"/>
          </reference>
          <reference field="1" count="1">
            <x v="15"/>
          </reference>
          <reference field="2" count="1" selected="0">
            <x v="3"/>
          </reference>
        </references>
      </pivotArea>
    </format>
    <format dxfId="294">
      <pivotArea dataOnly="0" labelOnly="1" outline="0" fieldPosition="0">
        <references count="3">
          <reference field="0" count="1" selected="0">
            <x v="12"/>
          </reference>
          <reference field="1" count="1">
            <x v="2"/>
          </reference>
          <reference field="2" count="1" selected="0">
            <x v="2"/>
          </reference>
        </references>
      </pivotArea>
    </format>
    <format dxfId="293">
      <pivotArea dataOnly="0" labelOnly="1" outline="0" fieldPosition="0">
        <references count="3">
          <reference field="0" count="1" selected="0">
            <x v="13"/>
          </reference>
          <reference field="1" count="1">
            <x v="25"/>
          </reference>
          <reference field="2" count="1" selected="0">
            <x v="0"/>
          </reference>
        </references>
      </pivotArea>
    </format>
    <format dxfId="292">
      <pivotArea dataOnly="0" labelOnly="1" outline="0" fieldPosition="0">
        <references count="3">
          <reference field="0" count="1" selected="0">
            <x v="14"/>
          </reference>
          <reference field="1" count="1">
            <x v="20"/>
          </reference>
          <reference field="2" count="1" selected="0">
            <x v="1"/>
          </reference>
        </references>
      </pivotArea>
    </format>
    <format dxfId="291">
      <pivotArea dataOnly="0" labelOnly="1" outline="0" fieldPosition="0">
        <references count="3">
          <reference field="0" count="1" selected="0">
            <x v="15"/>
          </reference>
          <reference field="1" count="1">
            <x v="4"/>
          </reference>
          <reference field="2" count="1" selected="0">
            <x v="6"/>
          </reference>
        </references>
      </pivotArea>
    </format>
    <format dxfId="290">
      <pivotArea dataOnly="0" labelOnly="1" outline="0" fieldPosition="0">
        <references count="3">
          <reference field="0" count="1" selected="0">
            <x v="16"/>
          </reference>
          <reference field="1" count="1">
            <x v="10"/>
          </reference>
          <reference field="2" count="1" selected="0">
            <x v="3"/>
          </reference>
        </references>
      </pivotArea>
    </format>
    <format dxfId="289">
      <pivotArea dataOnly="0" labelOnly="1" outline="0" fieldPosition="0">
        <references count="3">
          <reference field="0" count="1" selected="0">
            <x v="17"/>
          </reference>
          <reference field="1" count="1">
            <x v="6"/>
          </reference>
          <reference field="2" count="1" selected="0">
            <x v="4"/>
          </reference>
        </references>
      </pivotArea>
    </format>
    <format dxfId="288">
      <pivotArea dataOnly="0" labelOnly="1" outline="0" fieldPosition="0">
        <references count="3">
          <reference field="0" count="1" selected="0">
            <x v="18"/>
          </reference>
          <reference field="1" count="1">
            <x v="26"/>
          </reference>
          <reference field="2" count="1" selected="0">
            <x v="1"/>
          </reference>
        </references>
      </pivotArea>
    </format>
    <format dxfId="287">
      <pivotArea dataOnly="0" labelOnly="1" outline="0" fieldPosition="0">
        <references count="3">
          <reference field="0" count="1" selected="0">
            <x v="19"/>
          </reference>
          <reference field="1" count="1">
            <x v="17"/>
          </reference>
          <reference field="2" count="1" selected="0">
            <x v="3"/>
          </reference>
        </references>
      </pivotArea>
    </format>
    <format dxfId="286">
      <pivotArea dataOnly="0" labelOnly="1" outline="0" fieldPosition="0">
        <references count="3">
          <reference field="0" count="1" selected="0">
            <x v="20"/>
          </reference>
          <reference field="1" count="1">
            <x v="9"/>
          </reference>
          <reference field="2" count="1" selected="0">
            <x v="3"/>
          </reference>
        </references>
      </pivotArea>
    </format>
    <format dxfId="285">
      <pivotArea dataOnly="0" labelOnly="1" outline="0" fieldPosition="0">
        <references count="3">
          <reference field="0" count="1" selected="0">
            <x v="21"/>
          </reference>
          <reference field="1" count="1">
            <x v="12"/>
          </reference>
          <reference field="2" count="1" selected="0">
            <x v="2"/>
          </reference>
        </references>
      </pivotArea>
    </format>
    <format dxfId="284">
      <pivotArea dataOnly="0" labelOnly="1" outline="0" fieldPosition="0">
        <references count="3">
          <reference field="0" count="1" selected="0">
            <x v="22"/>
          </reference>
          <reference field="1" count="1">
            <x v="19"/>
          </reference>
          <reference field="2" count="1" selected="0">
            <x v="2"/>
          </reference>
        </references>
      </pivotArea>
    </format>
    <format dxfId="283">
      <pivotArea dataOnly="0" labelOnly="1" outline="0" fieldPosition="0">
        <references count="3">
          <reference field="0" count="1" selected="0">
            <x v="23"/>
          </reference>
          <reference field="1" count="1">
            <x v="24"/>
          </reference>
          <reference field="2" count="1" selected="0">
            <x v="2"/>
          </reference>
        </references>
      </pivotArea>
    </format>
    <format dxfId="282">
      <pivotArea dataOnly="0" labelOnly="1" outline="0" fieldPosition="0">
        <references count="3">
          <reference field="0" count="1" selected="0">
            <x v="23"/>
          </reference>
          <reference field="1" count="1">
            <x v="23"/>
          </reference>
          <reference field="2" count="1" selected="0">
            <x v="3"/>
          </reference>
        </references>
      </pivotArea>
    </format>
    <format dxfId="281">
      <pivotArea dataOnly="0" labelOnly="1" outline="0" fieldPosition="0">
        <references count="3">
          <reference field="0" count="1" selected="0">
            <x v="24"/>
          </reference>
          <reference field="1" count="1">
            <x v="3"/>
          </reference>
          <reference field="2" count="1" selected="0">
            <x v="4"/>
          </reference>
        </references>
      </pivotArea>
    </format>
    <format dxfId="280">
      <pivotArea type="all" dataOnly="0" outline="0" fieldPosition="0"/>
    </format>
    <format dxfId="279">
      <pivotArea field="0" type="button" dataOnly="0" labelOnly="1" outline="0" axis="axisRow" fieldPosition="2"/>
    </format>
    <format dxfId="278">
      <pivotArea field="2" type="button" dataOnly="0" labelOnly="1" outline="0" axis="axisRow" fieldPosition="3"/>
    </format>
    <format dxfId="277">
      <pivotArea field="1" type="button" dataOnly="0" labelOnly="1" outline="0" axis="axisRow" fieldPosition="4"/>
    </format>
    <format dxfId="276">
      <pivotArea dataOnly="0" labelOnly="1" outline="0" fieldPosition="0">
        <references count="1">
          <reference field="0" count="0"/>
        </references>
      </pivotArea>
    </format>
    <format dxfId="275">
      <pivotArea dataOnly="0" labelOnly="1" outline="0" fieldPosition="0">
        <references count="2">
          <reference field="0" count="1" selected="0">
            <x v="0"/>
          </reference>
          <reference field="2" count="1">
            <x v="4"/>
          </reference>
        </references>
      </pivotArea>
    </format>
    <format dxfId="274">
      <pivotArea dataOnly="0" labelOnly="1" outline="0" fieldPosition="0">
        <references count="2">
          <reference field="0" count="1" selected="0">
            <x v="1"/>
          </reference>
          <reference field="2" count="1">
            <x v="3"/>
          </reference>
        </references>
      </pivotArea>
    </format>
    <format dxfId="273">
      <pivotArea dataOnly="0" labelOnly="1" outline="0" fieldPosition="0">
        <references count="2">
          <reference field="0" count="1" selected="0">
            <x v="4"/>
          </reference>
          <reference field="2" count="1">
            <x v="5"/>
          </reference>
        </references>
      </pivotArea>
    </format>
    <format dxfId="272">
      <pivotArea dataOnly="0" labelOnly="1" outline="0" fieldPosition="0">
        <references count="2">
          <reference field="0" count="1" selected="0">
            <x v="5"/>
          </reference>
          <reference field="2" count="1">
            <x v="4"/>
          </reference>
        </references>
      </pivotArea>
    </format>
    <format dxfId="271">
      <pivotArea dataOnly="0" labelOnly="1" outline="0" fieldPosition="0">
        <references count="2">
          <reference field="0" count="1" selected="0">
            <x v="6"/>
          </reference>
          <reference field="2" count="1">
            <x v="3"/>
          </reference>
        </references>
      </pivotArea>
    </format>
    <format dxfId="270">
      <pivotArea dataOnly="0" labelOnly="1" outline="0" fieldPosition="0">
        <references count="2">
          <reference field="0" count="1" selected="0">
            <x v="8"/>
          </reference>
          <reference field="2" count="1">
            <x v="1"/>
          </reference>
        </references>
      </pivotArea>
    </format>
    <format dxfId="269">
      <pivotArea dataOnly="0" labelOnly="1" outline="0" fieldPosition="0">
        <references count="2">
          <reference field="0" count="1" selected="0">
            <x v="9"/>
          </reference>
          <reference field="2" count="1">
            <x v="2"/>
          </reference>
        </references>
      </pivotArea>
    </format>
    <format dxfId="268">
      <pivotArea dataOnly="0" labelOnly="1" outline="0" fieldPosition="0">
        <references count="2">
          <reference field="0" count="1" selected="0">
            <x v="10"/>
          </reference>
          <reference field="2" count="1">
            <x v="4"/>
          </reference>
        </references>
      </pivotArea>
    </format>
    <format dxfId="267">
      <pivotArea dataOnly="0" labelOnly="1" outline="0" fieldPosition="0">
        <references count="2">
          <reference field="0" count="1" selected="0">
            <x v="11"/>
          </reference>
          <reference field="2" count="1">
            <x v="3"/>
          </reference>
        </references>
      </pivotArea>
    </format>
    <format dxfId="266">
      <pivotArea dataOnly="0" labelOnly="1" outline="0" fieldPosition="0">
        <references count="2">
          <reference field="0" count="1" selected="0">
            <x v="12"/>
          </reference>
          <reference field="2" count="1">
            <x v="2"/>
          </reference>
        </references>
      </pivotArea>
    </format>
    <format dxfId="265">
      <pivotArea dataOnly="0" labelOnly="1" outline="0" fieldPosition="0">
        <references count="2">
          <reference field="0" count="1" selected="0">
            <x v="13"/>
          </reference>
          <reference field="2" count="1">
            <x v="0"/>
          </reference>
        </references>
      </pivotArea>
    </format>
    <format dxfId="264">
      <pivotArea dataOnly="0" labelOnly="1" outline="0" fieldPosition="0">
        <references count="2">
          <reference field="0" count="1" selected="0">
            <x v="14"/>
          </reference>
          <reference field="2" count="1">
            <x v="1"/>
          </reference>
        </references>
      </pivotArea>
    </format>
    <format dxfId="263">
      <pivotArea dataOnly="0" labelOnly="1" outline="0" fieldPosition="0">
        <references count="2">
          <reference field="0" count="1" selected="0">
            <x v="15"/>
          </reference>
          <reference field="2" count="1">
            <x v="6"/>
          </reference>
        </references>
      </pivotArea>
    </format>
    <format dxfId="262">
      <pivotArea dataOnly="0" labelOnly="1" outline="0" fieldPosition="0">
        <references count="2">
          <reference field="0" count="1" selected="0">
            <x v="16"/>
          </reference>
          <reference field="2" count="1">
            <x v="3"/>
          </reference>
        </references>
      </pivotArea>
    </format>
    <format dxfId="261">
      <pivotArea dataOnly="0" labelOnly="1" outline="0" fieldPosition="0">
        <references count="2">
          <reference field="0" count="1" selected="0">
            <x v="17"/>
          </reference>
          <reference field="2" count="1">
            <x v="4"/>
          </reference>
        </references>
      </pivotArea>
    </format>
    <format dxfId="260">
      <pivotArea dataOnly="0" labelOnly="1" outline="0" fieldPosition="0">
        <references count="2">
          <reference field="0" count="1" selected="0">
            <x v="18"/>
          </reference>
          <reference field="2" count="1">
            <x v="1"/>
          </reference>
        </references>
      </pivotArea>
    </format>
    <format dxfId="259">
      <pivotArea dataOnly="0" labelOnly="1" outline="0" fieldPosition="0">
        <references count="2">
          <reference field="0" count="1" selected="0">
            <x v="19"/>
          </reference>
          <reference field="2" count="1">
            <x v="3"/>
          </reference>
        </references>
      </pivotArea>
    </format>
    <format dxfId="258">
      <pivotArea dataOnly="0" labelOnly="1" outline="0" fieldPosition="0">
        <references count="2">
          <reference field="0" count="1" selected="0">
            <x v="21"/>
          </reference>
          <reference field="2" count="1">
            <x v="2"/>
          </reference>
        </references>
      </pivotArea>
    </format>
    <format dxfId="257">
      <pivotArea dataOnly="0" labelOnly="1" outline="0" fieldPosition="0">
        <references count="2">
          <reference field="0" count="1" selected="0">
            <x v="23"/>
          </reference>
          <reference field="2" count="1">
            <x v="3"/>
          </reference>
        </references>
      </pivotArea>
    </format>
    <format dxfId="256">
      <pivotArea dataOnly="0" labelOnly="1" outline="0" fieldPosition="0">
        <references count="2">
          <reference field="0" count="1" selected="0">
            <x v="24"/>
          </reference>
          <reference field="2" count="1">
            <x v="4"/>
          </reference>
        </references>
      </pivotArea>
    </format>
    <format dxfId="255">
      <pivotArea dataOnly="0" labelOnly="1" outline="0" fieldPosition="0">
        <references count="3">
          <reference field="0" count="1" selected="0">
            <x v="0"/>
          </reference>
          <reference field="1" count="1">
            <x v="11"/>
          </reference>
          <reference field="2" count="1" selected="0">
            <x v="4"/>
          </reference>
        </references>
      </pivotArea>
    </format>
    <format dxfId="254">
      <pivotArea dataOnly="0" labelOnly="1" outline="0" fieldPosition="0">
        <references count="3">
          <reference field="0" count="1" selected="0">
            <x v="1"/>
          </reference>
          <reference field="1" count="1">
            <x v="18"/>
          </reference>
          <reference field="2" count="1" selected="0">
            <x v="3"/>
          </reference>
        </references>
      </pivotArea>
    </format>
    <format dxfId="253">
      <pivotArea dataOnly="0" labelOnly="1" outline="0" fieldPosition="0">
        <references count="3">
          <reference field="0" count="1" selected="0">
            <x v="2"/>
          </reference>
          <reference field="1" count="1">
            <x v="14"/>
          </reference>
          <reference field="2" count="1" selected="0">
            <x v="3"/>
          </reference>
        </references>
      </pivotArea>
    </format>
    <format dxfId="252">
      <pivotArea dataOnly="0" labelOnly="1" outline="0" fieldPosition="0">
        <references count="3">
          <reference field="0" count="1" selected="0">
            <x v="3"/>
          </reference>
          <reference field="1" count="1">
            <x v="13"/>
          </reference>
          <reference field="2" count="1" selected="0">
            <x v="3"/>
          </reference>
        </references>
      </pivotArea>
    </format>
    <format dxfId="251">
      <pivotArea dataOnly="0" labelOnly="1" outline="0" fieldPosition="0">
        <references count="3">
          <reference field="0" count="1" selected="0">
            <x v="4"/>
          </reference>
          <reference field="1" count="1">
            <x v="5"/>
          </reference>
          <reference field="2" count="1" selected="0">
            <x v="5"/>
          </reference>
        </references>
      </pivotArea>
    </format>
    <format dxfId="250">
      <pivotArea dataOnly="0" labelOnly="1" outline="0" fieldPosition="0">
        <references count="3">
          <reference field="0" count="1" selected="0">
            <x v="5"/>
          </reference>
          <reference field="1" count="1">
            <x v="7"/>
          </reference>
          <reference field="2" count="1" selected="0">
            <x v="4"/>
          </reference>
        </references>
      </pivotArea>
    </format>
    <format dxfId="249">
      <pivotArea dataOnly="0" labelOnly="1" outline="0" fieldPosition="0">
        <references count="3">
          <reference field="0" count="1" selected="0">
            <x v="6"/>
          </reference>
          <reference field="1" count="1">
            <x v="8"/>
          </reference>
          <reference field="2" count="1" selected="0">
            <x v="3"/>
          </reference>
        </references>
      </pivotArea>
    </format>
    <format dxfId="248">
      <pivotArea dataOnly="0" labelOnly="1" outline="0" fieldPosition="0">
        <references count="3">
          <reference field="0" count="1" selected="0">
            <x v="7"/>
          </reference>
          <reference field="1" count="1">
            <x v="16"/>
          </reference>
          <reference field="2" count="1" selected="0">
            <x v="3"/>
          </reference>
        </references>
      </pivotArea>
    </format>
    <format dxfId="247">
      <pivotArea dataOnly="0" labelOnly="1" outline="0" fieldPosition="0">
        <references count="3">
          <reference field="0" count="1" selected="0">
            <x v="8"/>
          </reference>
          <reference field="1" count="1">
            <x v="21"/>
          </reference>
          <reference field="2" count="1" selected="0">
            <x v="1"/>
          </reference>
        </references>
      </pivotArea>
    </format>
    <format dxfId="246">
      <pivotArea dataOnly="0" labelOnly="1" outline="0" fieldPosition="0">
        <references count="3">
          <reference field="0" count="1" selected="0">
            <x v="9"/>
          </reference>
          <reference field="1" count="1">
            <x v="22"/>
          </reference>
          <reference field="2" count="1" selected="0">
            <x v="2"/>
          </reference>
        </references>
      </pivotArea>
    </format>
    <format dxfId="245">
      <pivotArea dataOnly="0" labelOnly="1" outline="0" fieldPosition="0">
        <references count="3">
          <reference field="0" count="1" selected="0">
            <x v="10"/>
          </reference>
          <reference field="1" count="1">
            <x v="1"/>
          </reference>
          <reference field="2" count="1" selected="0">
            <x v="2"/>
          </reference>
        </references>
      </pivotArea>
    </format>
    <format dxfId="244">
      <pivotArea dataOnly="0" labelOnly="1" outline="0" fieldPosition="0">
        <references count="3">
          <reference field="0" count="1" selected="0">
            <x v="10"/>
          </reference>
          <reference field="1" count="1">
            <x v="0"/>
          </reference>
          <reference field="2" count="1" selected="0">
            <x v="4"/>
          </reference>
        </references>
      </pivotArea>
    </format>
    <format dxfId="243">
      <pivotArea dataOnly="0" labelOnly="1" outline="0" fieldPosition="0">
        <references count="3">
          <reference field="0" count="1" selected="0">
            <x v="11"/>
          </reference>
          <reference field="1" count="1">
            <x v="15"/>
          </reference>
          <reference field="2" count="1" selected="0">
            <x v="3"/>
          </reference>
        </references>
      </pivotArea>
    </format>
    <format dxfId="242">
      <pivotArea dataOnly="0" labelOnly="1" outline="0" fieldPosition="0">
        <references count="3">
          <reference field="0" count="1" selected="0">
            <x v="12"/>
          </reference>
          <reference field="1" count="1">
            <x v="2"/>
          </reference>
          <reference field="2" count="1" selected="0">
            <x v="2"/>
          </reference>
        </references>
      </pivotArea>
    </format>
    <format dxfId="241">
      <pivotArea dataOnly="0" labelOnly="1" outline="0" fieldPosition="0">
        <references count="3">
          <reference field="0" count="1" selected="0">
            <x v="13"/>
          </reference>
          <reference field="1" count="1">
            <x v="25"/>
          </reference>
          <reference field="2" count="1" selected="0">
            <x v="0"/>
          </reference>
        </references>
      </pivotArea>
    </format>
    <format dxfId="240">
      <pivotArea dataOnly="0" labelOnly="1" outline="0" fieldPosition="0">
        <references count="3">
          <reference field="0" count="1" selected="0">
            <x v="14"/>
          </reference>
          <reference field="1" count="1">
            <x v="20"/>
          </reference>
          <reference field="2" count="1" selected="0">
            <x v="1"/>
          </reference>
        </references>
      </pivotArea>
    </format>
    <format dxfId="239">
      <pivotArea dataOnly="0" labelOnly="1" outline="0" fieldPosition="0">
        <references count="3">
          <reference field="0" count="1" selected="0">
            <x v="15"/>
          </reference>
          <reference field="1" count="1">
            <x v="4"/>
          </reference>
          <reference field="2" count="1" selected="0">
            <x v="6"/>
          </reference>
        </references>
      </pivotArea>
    </format>
    <format dxfId="238">
      <pivotArea dataOnly="0" labelOnly="1" outline="0" fieldPosition="0">
        <references count="3">
          <reference field="0" count="1" selected="0">
            <x v="16"/>
          </reference>
          <reference field="1" count="1">
            <x v="10"/>
          </reference>
          <reference field="2" count="1" selected="0">
            <x v="3"/>
          </reference>
        </references>
      </pivotArea>
    </format>
    <format dxfId="237">
      <pivotArea dataOnly="0" labelOnly="1" outline="0" fieldPosition="0">
        <references count="3">
          <reference field="0" count="1" selected="0">
            <x v="17"/>
          </reference>
          <reference field="1" count="1">
            <x v="6"/>
          </reference>
          <reference field="2" count="1" selected="0">
            <x v="4"/>
          </reference>
        </references>
      </pivotArea>
    </format>
    <format dxfId="236">
      <pivotArea dataOnly="0" labelOnly="1" outline="0" fieldPosition="0">
        <references count="3">
          <reference field="0" count="1" selected="0">
            <x v="18"/>
          </reference>
          <reference field="1" count="1">
            <x v="26"/>
          </reference>
          <reference field="2" count="1" selected="0">
            <x v="1"/>
          </reference>
        </references>
      </pivotArea>
    </format>
    <format dxfId="235">
      <pivotArea dataOnly="0" labelOnly="1" outline="0" fieldPosition="0">
        <references count="3">
          <reference field="0" count="1" selected="0">
            <x v="19"/>
          </reference>
          <reference field="1" count="1">
            <x v="17"/>
          </reference>
          <reference field="2" count="1" selected="0">
            <x v="3"/>
          </reference>
        </references>
      </pivotArea>
    </format>
    <format dxfId="234">
      <pivotArea dataOnly="0" labelOnly="1" outline="0" fieldPosition="0">
        <references count="3">
          <reference field="0" count="1" selected="0">
            <x v="20"/>
          </reference>
          <reference field="1" count="1">
            <x v="9"/>
          </reference>
          <reference field="2" count="1" selected="0">
            <x v="3"/>
          </reference>
        </references>
      </pivotArea>
    </format>
    <format dxfId="233">
      <pivotArea dataOnly="0" labelOnly="1" outline="0" fieldPosition="0">
        <references count="3">
          <reference field="0" count="1" selected="0">
            <x v="21"/>
          </reference>
          <reference field="1" count="1">
            <x v="12"/>
          </reference>
          <reference field="2" count="1" selected="0">
            <x v="2"/>
          </reference>
        </references>
      </pivotArea>
    </format>
    <format dxfId="232">
      <pivotArea dataOnly="0" labelOnly="1" outline="0" fieldPosition="0">
        <references count="3">
          <reference field="0" count="1" selected="0">
            <x v="22"/>
          </reference>
          <reference field="1" count="1">
            <x v="19"/>
          </reference>
          <reference field="2" count="1" selected="0">
            <x v="2"/>
          </reference>
        </references>
      </pivotArea>
    </format>
    <format dxfId="231">
      <pivotArea dataOnly="0" labelOnly="1" outline="0" fieldPosition="0">
        <references count="3">
          <reference field="0" count="1" selected="0">
            <x v="23"/>
          </reference>
          <reference field="1" count="1">
            <x v="24"/>
          </reference>
          <reference field="2" count="1" selected="0">
            <x v="2"/>
          </reference>
        </references>
      </pivotArea>
    </format>
    <format dxfId="230">
      <pivotArea dataOnly="0" labelOnly="1" outline="0" fieldPosition="0">
        <references count="3">
          <reference field="0" count="1" selected="0">
            <x v="23"/>
          </reference>
          <reference field="1" count="1">
            <x v="23"/>
          </reference>
          <reference field="2" count="1" selected="0">
            <x v="3"/>
          </reference>
        </references>
      </pivotArea>
    </format>
    <format dxfId="229">
      <pivotArea dataOnly="0" labelOnly="1" outline="0" fieldPosition="0">
        <references count="3">
          <reference field="0" count="1" selected="0">
            <x v="24"/>
          </reference>
          <reference field="1" count="1">
            <x v="3"/>
          </reference>
          <reference field="2" count="1" selected="0">
            <x v="4"/>
          </reference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KITS" displayName="KITS" ref="A1:I42" totalsRowShown="0" headerRowDxfId="475" dataDxfId="473" headerRowBorderDxfId="474" tableBorderDxfId="472" totalsRowBorderDxfId="471">
  <sortState xmlns:xlrd2="http://schemas.microsoft.com/office/spreadsheetml/2017/richdata2" ref="A2:B42">
    <sortCondition ref="B4"/>
  </sortState>
  <tableColumns count="9">
    <tableColumn id="2" xr3:uid="{00000000-0010-0000-0000-000002000000}" name="Prx" dataDxfId="470"/>
    <tableColumn id="3" xr3:uid="{00000000-0010-0000-0000-000003000000}" name="PN" dataDxfId="469"/>
    <tableColumn id="9" xr3:uid="{00000000-0010-0000-0000-000009000000}" name="CC" dataDxfId="468">
      <calculatedColumnFormula>CONCATENATE(A2,B2)</calculatedColumnFormula>
    </tableColumn>
    <tableColumn id="5" xr3:uid="{00000000-0010-0000-0000-000005000000}" name="Descripción" dataDxfId="467"/>
    <tableColumn id="7" xr3:uid="{00000000-0010-0000-0000-000007000000}" name="Tipo" dataDxfId="466"/>
    <tableColumn id="8" xr3:uid="{00000000-0010-0000-0000-000008000000}" name="Brand" dataDxfId="465"/>
    <tableColumn id="10" xr3:uid="{00000000-0010-0000-0000-00000A000000}" name="Detalle" dataDxfId="464"/>
    <tableColumn id="4" xr3:uid="{00000000-0010-0000-0000-000004000000}" name="HOJA" dataDxfId="463"/>
    <tableColumn id="6" xr3:uid="{00000000-0010-0000-0000-000006000000}" name="N° ITEM2" dataDxfId="46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PFPN" displayName="PFPN" ref="M1:T203" totalsRowShown="0" headerRowDxfId="461" dataDxfId="459" headerRowBorderDxfId="460" tableBorderDxfId="458" totalsRowBorderDxfId="457">
  <autoFilter ref="M1:T203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CLASE" dataDxfId="456"/>
    <tableColumn id="2" xr3:uid="{00000000-0010-0000-0100-000002000000}" name="KIT" dataDxfId="455"/>
    <tableColumn id="3" xr3:uid="{00000000-0010-0000-0100-000003000000}" name="DESCRIP KIT" dataDxfId="454"/>
    <tableColumn id="9" xr3:uid="{00000000-0010-0000-0100-000009000000}" name="CC" dataDxfId="453"/>
    <tableColumn id="4" xr3:uid="{00000000-0010-0000-0100-000004000000}" name="PREF" dataDxfId="452"/>
    <tableColumn id="5" xr3:uid="{00000000-0010-0000-0100-000005000000}" name="PN" dataDxfId="451"/>
    <tableColumn id="6" xr3:uid="{00000000-0010-0000-0100-000006000000}" name="DESCRIPCIÓN" dataDxfId="450"/>
    <tableColumn id="7" xr3:uid="{00000000-0010-0000-0100-000007000000}" name="CANTIDAD" dataDxfId="44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EXTRACCION" displayName="EXTRACCION" ref="A2:BJ18" totalsRowShown="0" headerRowDxfId="212" dataDxfId="210" headerRowBorderDxfId="211" tableBorderDxfId="209" totalsRowBorderDxfId="208">
  <autoFilter ref="A2:BJ18" xr:uid="{00000000-0009-0000-0100-000004000000}"/>
  <tableColumns count="62">
    <tableColumn id="1" xr3:uid="{00000000-0010-0000-0200-000001000000}" name="CC" dataDxfId="207"/>
    <tableColumn id="2" xr3:uid="{00000000-0010-0000-0200-000002000000}" name="Orden" dataDxfId="206"/>
    <tableColumn id="3" xr3:uid="{00000000-0010-0000-0200-000003000000}" name="Cantidad" dataDxfId="205"/>
    <tableColumn id="62" xr3:uid="{00000000-0010-0000-0200-00003E000000}" name="Prioridad" dataDxfId="204"/>
    <tableColumn id="4" xr3:uid="{00000000-0010-0000-0200-000004000000}" name="COND" dataDxfId="203"/>
    <tableColumn id="5" xr3:uid="{00000000-0010-0000-0200-000005000000}" name="Conjunto" dataDxfId="202">
      <calculatedColumnFormula>IFERROR(VLOOKUP(CONCATENATE($A3,$E3),BDKITS!$A:$BG,F$1,0),"")</calculatedColumnFormula>
    </tableColumn>
    <tableColumn id="6" xr3:uid="{00000000-0010-0000-0200-000006000000}" name="CCCKit" dataDxfId="201">
      <calculatedColumnFormula>IFERROR(VLOOKUP(CONCATENATE($A3,$E3),BDKITS!$A:$BG,G$1,0),"")</calculatedColumnFormula>
    </tableColumn>
    <tableColumn id="7" xr3:uid="{00000000-0010-0000-0200-000007000000}" name="NombreKit" dataDxfId="200">
      <calculatedColumnFormula>IFERROR(VLOOKUP(CONCATENATE($A3,$E3),BDKITS!$A:$BG,H$1,0),"")</calculatedColumnFormula>
    </tableColumn>
    <tableColumn id="8" xr3:uid="{00000000-0010-0000-0200-000008000000}" name="PRKIT" dataDxfId="199">
      <calculatedColumnFormula>IFERROR(VLOOKUP(CONCATENATE($A3,$E3),BDKITS!$A:$BG,I$1,0),"")</calculatedColumnFormula>
    </tableColumn>
    <tableColumn id="9" xr3:uid="{00000000-0010-0000-0200-000009000000}" name="PN1KIT" dataDxfId="198">
      <calculatedColumnFormula>IFERROR(VLOOKUP(CONCATENATE($A3,$E3),BDKITS!$A:$BG,J$1,0),"")</calculatedColumnFormula>
    </tableColumn>
    <tableColumn id="10" xr3:uid="{00000000-0010-0000-0200-00000A000000}" name="PN2KIT" dataDxfId="197">
      <calculatedColumnFormula>IFERROR(VLOOKUP(CONCATENATE($A3,$E3),BDKITS!$A:$BG,K$1,0),"")</calculatedColumnFormula>
    </tableColumn>
    <tableColumn id="11" xr3:uid="{00000000-0010-0000-0200-00000B000000}" name="PRItem1" dataDxfId="196">
      <calculatedColumnFormula>IFERROR(VLOOKUP(CONCATENATE($A3,$E3),BDKITS!$A:$BG,L$1,0),"")</calculatedColumnFormula>
    </tableColumn>
    <tableColumn id="12" xr3:uid="{00000000-0010-0000-0200-00000C000000}" name="PNItem1" dataDxfId="195">
      <calculatedColumnFormula>IFERROR(VLOOKUP(CONCATENATE($A3,$E3),BDKITS!$A:$BG,M$1,0),"")</calculatedColumnFormula>
    </tableColumn>
    <tableColumn id="13" xr3:uid="{00000000-0010-0000-0200-00000D000000}" name="DesItem1" dataDxfId="194">
      <calculatedColumnFormula>IFERROR(VLOOKUP(CONCATENATE($A3,$E3),BDKITS!$A:$BG,N$1,0),"")</calculatedColumnFormula>
    </tableColumn>
    <tableColumn id="14" xr3:uid="{00000000-0010-0000-0200-00000E000000}" name="QtyItem1" dataDxfId="193">
      <calculatedColumnFormula>IFERROR(VLOOKUP(CONCATENATE($A3,$E3),BDKITS!$A:$BG,O$1,0),"")</calculatedColumnFormula>
    </tableColumn>
    <tableColumn id="15" xr3:uid="{00000000-0010-0000-0200-00000F000000}" name="UniItem1" dataDxfId="192">
      <calculatedColumnFormula>IFERROR(VLOOKUP(CONCATENATE($A3,$E3),BDKITS!$A:$BG,P$1,0),"")</calculatedColumnFormula>
    </tableColumn>
    <tableColumn id="16" xr3:uid="{00000000-0010-0000-0200-000010000000}" name="CMItem1" dataDxfId="191">
      <calculatedColumnFormula>IFERROR(VLOOKUP(CONCATENATE($A3,$E3),BDKITS!$A:$BG,Q$1,0),"")</calculatedColumnFormula>
    </tableColumn>
    <tableColumn id="17" xr3:uid="{00000000-0010-0000-0200-000011000000}" name="PRItem2" dataDxfId="190">
      <calculatedColumnFormula>IFERROR(VLOOKUP(CONCATENATE($A3,$E3),BDKITS!$A:$BG,R$1,0),"")</calculatedColumnFormula>
    </tableColumn>
    <tableColumn id="18" xr3:uid="{00000000-0010-0000-0200-000012000000}" name="PNItem2" dataDxfId="189">
      <calculatedColumnFormula>IFERROR(VLOOKUP(CONCATENATE($A3,$E3),BDKITS!$A:$BG,S$1,0),"")</calculatedColumnFormula>
    </tableColumn>
    <tableColumn id="19" xr3:uid="{00000000-0010-0000-0200-000013000000}" name="DesItem2" dataDxfId="188">
      <calculatedColumnFormula>IFERROR(VLOOKUP(CONCATENATE($A3,$E3),BDKITS!$A:$BG,T$1,0),"")</calculatedColumnFormula>
    </tableColumn>
    <tableColumn id="20" xr3:uid="{00000000-0010-0000-0200-000014000000}" name="QtyItem2" dataDxfId="187">
      <calculatedColumnFormula>IFERROR(VLOOKUP(CONCATENATE($A3,$E3),BDKITS!$A:$BG,U$1,0),"")</calculatedColumnFormula>
    </tableColumn>
    <tableColumn id="21" xr3:uid="{00000000-0010-0000-0200-000015000000}" name="UniItem2" dataDxfId="186">
      <calculatedColumnFormula>IFERROR(VLOOKUP(CONCATENATE($A3,$E3),BDKITS!$A:$BG,V$1,0),"")</calculatedColumnFormula>
    </tableColumn>
    <tableColumn id="22" xr3:uid="{00000000-0010-0000-0200-000016000000}" name="CMItem2" dataDxfId="185">
      <calculatedColumnFormula>IFERROR(VLOOKUP(CONCATENATE($A3,$E3),BDKITS!$A:$BG,W$1,0),"")</calculatedColumnFormula>
    </tableColumn>
    <tableColumn id="23" xr3:uid="{00000000-0010-0000-0200-000017000000}" name="PRItem3" dataDxfId="184">
      <calculatedColumnFormula>IFERROR(VLOOKUP(CONCATENATE($A3,$E3),BDKITS!$A:$BG,X$1,0),"")</calculatedColumnFormula>
    </tableColumn>
    <tableColumn id="24" xr3:uid="{00000000-0010-0000-0200-000018000000}" name="PNItem3" dataDxfId="183">
      <calculatedColumnFormula>IFERROR(VLOOKUP(CONCATENATE($A3,$E3),BDKITS!$A:$BG,Y$1,0),"")</calculatedColumnFormula>
    </tableColumn>
    <tableColumn id="25" xr3:uid="{00000000-0010-0000-0200-000019000000}" name="DesItem3" dataDxfId="182">
      <calculatedColumnFormula>IFERROR(VLOOKUP(CONCATENATE($A3,$E3),BDKITS!$A:$BG,Z$1,0),"")</calculatedColumnFormula>
    </tableColumn>
    <tableColumn id="26" xr3:uid="{00000000-0010-0000-0200-00001A000000}" name="QtyItem3" dataDxfId="181">
      <calculatedColumnFormula>IFERROR(VLOOKUP(CONCATENATE($A3,$E3),BDKITS!$A:$BG,AA$1,0),"")</calculatedColumnFormula>
    </tableColumn>
    <tableColumn id="27" xr3:uid="{00000000-0010-0000-0200-00001B000000}" name="UniItem3" dataDxfId="180">
      <calculatedColumnFormula>IFERROR(VLOOKUP(CONCATENATE($A3,$E3),BDKITS!$A:$BG,AB$1,0),"")</calculatedColumnFormula>
    </tableColumn>
    <tableColumn id="28" xr3:uid="{00000000-0010-0000-0200-00001C000000}" name="CMItem3" dataDxfId="179">
      <calculatedColumnFormula>IFERROR(VLOOKUP(CONCATENATE($A3,$E3),BDKITS!$A:$BG,AC$1,0),"")</calculatedColumnFormula>
    </tableColumn>
    <tableColumn id="29" xr3:uid="{00000000-0010-0000-0200-00001D000000}" name="PRItem4" dataDxfId="178">
      <calculatedColumnFormula>IFERROR(VLOOKUP(CONCATENATE($A3,$E3),BDKITS!$A:$BG,AD$1,0),"")</calculatedColumnFormula>
    </tableColumn>
    <tableColumn id="30" xr3:uid="{00000000-0010-0000-0200-00001E000000}" name="PNItem4" dataDxfId="177">
      <calculatedColumnFormula>IFERROR(VLOOKUP(CONCATENATE($A3,$E3),BDKITS!$A:$BG,AE$1,0),"")</calculatedColumnFormula>
    </tableColumn>
    <tableColumn id="31" xr3:uid="{00000000-0010-0000-0200-00001F000000}" name="DesItem4" dataDxfId="176">
      <calculatedColumnFormula>IFERROR(VLOOKUP(CONCATENATE($A3,$E3),BDKITS!$A:$BG,AF$1,0),"")</calculatedColumnFormula>
    </tableColumn>
    <tableColumn id="32" xr3:uid="{00000000-0010-0000-0200-000020000000}" name="QtyItem4" dataDxfId="175">
      <calculatedColumnFormula>IFERROR(VLOOKUP(CONCATENATE($A3,$E3),BDKITS!$A:$BG,AG$1,0),"")</calculatedColumnFormula>
    </tableColumn>
    <tableColumn id="33" xr3:uid="{00000000-0010-0000-0200-000021000000}" name="UniItem4" dataDxfId="174">
      <calculatedColumnFormula>IFERROR(VLOOKUP(CONCATENATE($A3,$E3),BDKITS!$A:$BG,AH$1,0),"")</calculatedColumnFormula>
    </tableColumn>
    <tableColumn id="34" xr3:uid="{00000000-0010-0000-0200-000022000000}" name="CMItem4" dataDxfId="173">
      <calculatedColumnFormula>IFERROR(VLOOKUP(CONCATENATE($A3,$E3),BDKITS!$A:$BG,AI$1,0),"")</calculatedColumnFormula>
    </tableColumn>
    <tableColumn id="35" xr3:uid="{00000000-0010-0000-0200-000023000000}" name="PRItem5" dataDxfId="172">
      <calculatedColumnFormula>IFERROR(VLOOKUP(CONCATENATE($A3,$E3),BDKITS!$A:$BG,AJ$1,0),"")</calculatedColumnFormula>
    </tableColumn>
    <tableColumn id="36" xr3:uid="{00000000-0010-0000-0200-000024000000}" name="PNItem5" dataDxfId="171">
      <calculatedColumnFormula>IFERROR(VLOOKUP(CONCATENATE($A3,$E3),BDKITS!$A:$BG,AK$1,0),"")</calculatedColumnFormula>
    </tableColumn>
    <tableColumn id="37" xr3:uid="{00000000-0010-0000-0200-000025000000}" name="DesItem5" dataDxfId="170">
      <calculatedColumnFormula>IFERROR(VLOOKUP(CONCATENATE($A3,$E3),BDKITS!$A:$BG,AL$1,0),"")</calculatedColumnFormula>
    </tableColumn>
    <tableColumn id="38" xr3:uid="{00000000-0010-0000-0200-000026000000}" name="QtyItem5" dataDxfId="169">
      <calculatedColumnFormula>IFERROR(VLOOKUP(CONCATENATE($A3,$E3),BDKITS!$A:$BG,AM$1,0),"")</calculatedColumnFormula>
    </tableColumn>
    <tableColumn id="39" xr3:uid="{00000000-0010-0000-0200-000027000000}" name="UniItem5" dataDxfId="168">
      <calculatedColumnFormula>IFERROR(VLOOKUP(CONCATENATE($A3,$E3),BDKITS!$A:$BG,AN$1,0),"")</calculatedColumnFormula>
    </tableColumn>
    <tableColumn id="40" xr3:uid="{00000000-0010-0000-0200-000028000000}" name="CMItem5" dataDxfId="167">
      <calculatedColumnFormula>IFERROR(VLOOKUP(CONCATENATE($A3,$E3),BDKITS!$A:$BG,AO$1,0),"")</calculatedColumnFormula>
    </tableColumn>
    <tableColumn id="41" xr3:uid="{00000000-0010-0000-0200-000029000000}" name="PRItem6" dataDxfId="166">
      <calculatedColumnFormula>IFERROR(VLOOKUP(CONCATENATE($A3,$E3),BDKITS!$A:$BG,AP$1,0),"")</calculatedColumnFormula>
    </tableColumn>
    <tableColumn id="42" xr3:uid="{00000000-0010-0000-0200-00002A000000}" name="PNItem6" dataDxfId="165">
      <calculatedColumnFormula>IFERROR(VLOOKUP(CONCATENATE($A3,$E3),BDKITS!$A:$BG,AQ$1,0),"")</calculatedColumnFormula>
    </tableColumn>
    <tableColumn id="43" xr3:uid="{00000000-0010-0000-0200-00002B000000}" name="DesItem6" dataDxfId="164">
      <calculatedColumnFormula>IFERROR(VLOOKUP(CONCATENATE($A3,$E3),BDKITS!$A:$BG,AR$1,0),"")</calculatedColumnFormula>
    </tableColumn>
    <tableColumn id="44" xr3:uid="{00000000-0010-0000-0200-00002C000000}" name="QtyItem6" dataDxfId="163">
      <calculatedColumnFormula>IFERROR(VLOOKUP(CONCATENATE($A3,$E3),BDKITS!$A:$BG,AS$1,0),"")</calculatedColumnFormula>
    </tableColumn>
    <tableColumn id="45" xr3:uid="{00000000-0010-0000-0200-00002D000000}" name="UniItem6" dataDxfId="162">
      <calculatedColumnFormula>IFERROR(VLOOKUP(CONCATENATE($A3,$E3),BDKITS!$A:$BG,AT$1,0),"")</calculatedColumnFormula>
    </tableColumn>
    <tableColumn id="46" xr3:uid="{00000000-0010-0000-0200-00002E000000}" name="CMItem6" dataDxfId="161">
      <calculatedColumnFormula>IFERROR(VLOOKUP(CONCATENATE($A3,$E3),BDKITS!$A:$BG,AU$1,0),"")</calculatedColumnFormula>
    </tableColumn>
    <tableColumn id="47" xr3:uid="{00000000-0010-0000-0200-00002F000000}" name="PRItem7" dataDxfId="160">
      <calculatedColumnFormula>IFERROR(VLOOKUP(CONCATENATE($A3,$E3),BDKITS!$A:$BG,AV$1,0),"")</calculatedColumnFormula>
    </tableColumn>
    <tableColumn id="48" xr3:uid="{00000000-0010-0000-0200-000030000000}" name="PNItem7" dataDxfId="159">
      <calculatedColumnFormula>IFERROR(VLOOKUP(CONCATENATE($A3,$E3),BDKITS!$A:$BG,AW$1,0),"")</calculatedColumnFormula>
    </tableColumn>
    <tableColumn id="49" xr3:uid="{00000000-0010-0000-0200-000031000000}" name="DesItem7" dataDxfId="158">
      <calculatedColumnFormula>IFERROR(VLOOKUP(CONCATENATE($A3,$E3),BDKITS!$A:$BG,AX$1,0),"")</calculatedColumnFormula>
    </tableColumn>
    <tableColumn id="50" xr3:uid="{00000000-0010-0000-0200-000032000000}" name="QtyItem7" dataDxfId="157">
      <calculatedColumnFormula>IFERROR(VLOOKUP(CONCATENATE($A3,$E3),BDKITS!$A:$BG,AY$1,0),"")</calculatedColumnFormula>
    </tableColumn>
    <tableColumn id="51" xr3:uid="{00000000-0010-0000-0200-000033000000}" name="UniItem7" dataDxfId="156">
      <calculatedColumnFormula>IFERROR(VLOOKUP(CONCATENATE($A3,$E3),BDKITS!$A:$BG,AZ$1,0),"")</calculatedColumnFormula>
    </tableColumn>
    <tableColumn id="52" xr3:uid="{00000000-0010-0000-0200-000034000000}" name="CMItem7" dataDxfId="155">
      <calculatedColumnFormula>IFERROR(VLOOKUP(CONCATENATE($A3,$E3),BDKITS!$A:$BG,BA$1,0),"")</calculatedColumnFormula>
    </tableColumn>
    <tableColumn id="53" xr3:uid="{00000000-0010-0000-0200-000035000000}" name="PRItem8" dataDxfId="154">
      <calculatedColumnFormula>IFERROR(VLOOKUP(CONCATENATE($A3,$E3),BDKITS!$A:$BG,BB$1,0),"")</calculatedColumnFormula>
    </tableColumn>
    <tableColumn id="54" xr3:uid="{00000000-0010-0000-0200-000036000000}" name="PNItem8" dataDxfId="153">
      <calculatedColumnFormula>IFERROR(VLOOKUP(CONCATENATE($A3,$E3),BDKITS!$A:$BG,BC$1,0),"")</calculatedColumnFormula>
    </tableColumn>
    <tableColumn id="55" xr3:uid="{00000000-0010-0000-0200-000037000000}" name="DesItem8" dataDxfId="152">
      <calculatedColumnFormula>IFERROR(VLOOKUP(CONCATENATE($A3,$E3),BDKITS!$A:$BG,BD$1,0),"")</calculatedColumnFormula>
    </tableColumn>
    <tableColumn id="56" xr3:uid="{00000000-0010-0000-0200-000038000000}" name="QtyItem8" dataDxfId="151">
      <calculatedColumnFormula>IFERROR(VLOOKUP(CONCATENATE($A3,$E3),BDKITS!$A:$BG,BE$1,0),"")</calculatedColumnFormula>
    </tableColumn>
    <tableColumn id="57" xr3:uid="{00000000-0010-0000-0200-000039000000}" name="UniItem8" dataDxfId="150">
      <calculatedColumnFormula>IFERROR(VLOOKUP(CONCATENATE($A3,$E3),BDKITS!$A:$BG,BF$1,0),"")</calculatedColumnFormula>
    </tableColumn>
    <tableColumn id="58" xr3:uid="{00000000-0010-0000-0200-00003A000000}" name="CMItem8" dataDxfId="149">
      <calculatedColumnFormula>IFERROR(VLOOKUP(CONCATENATE($A3,$E3),BDKITS!$A:$BG,BG$1,0),"")</calculatedColumnFormula>
    </tableColumn>
    <tableColumn id="59" xr3:uid="{00000000-0010-0000-0200-00003B000000}" name="OrdenProd" dataDxfId="148">
      <calculatedColumnFormula>IF(B3="","",B3)</calculatedColumnFormula>
    </tableColumn>
    <tableColumn id="60" xr3:uid="{00000000-0010-0000-0200-00003C000000}" name="Qty" dataDxfId="147">
      <calculatedColumnFormula>IF(C3="","",C3)</calculatedColumnFormula>
    </tableColumn>
    <tableColumn id="61" xr3:uid="{00000000-0010-0000-0200-00003D000000}" name="Hoja" dataDxfId="146">
      <calculatedColumnFormula>IFERROR(VLOOKUP(CONCATENATE($A3,$E3),BDKITS!$A:$BG,BJ$1,0),"")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BDKIT" displayName="BDKIT" ref="A1:BG69" totalsRowShown="0" headerRowDxfId="123" dataDxfId="121" headerRowBorderDxfId="122" tableBorderDxfId="120" totalsRowBorderDxfId="119">
  <autoFilter ref="A1:BG69" xr:uid="{00000000-0009-0000-0100-000002000000}"/>
  <tableColumns count="59">
    <tableColumn id="59" xr3:uid="{00000000-0010-0000-0300-00003B000000}" name="CC" dataDxfId="118">
      <calculatedColumnFormula>CONCATENATE(D2,B2)</calculatedColumnFormula>
    </tableColumn>
    <tableColumn id="58" xr3:uid="{00000000-0010-0000-0300-00003A000000}" name="COND" dataDxfId="117"/>
    <tableColumn id="56" xr3:uid="{00000000-0010-0000-0300-000038000000}" name="Conjunto" dataDxfId="116"/>
    <tableColumn id="1" xr3:uid="{00000000-0010-0000-0300-000001000000}" name="CCCKit" dataDxfId="115">
      <calculatedColumnFormula>CONCATENATE(F2,G2,H2)</calculatedColumnFormula>
    </tableColumn>
    <tableColumn id="2" xr3:uid="{00000000-0010-0000-0300-000002000000}" name="NombreKit" dataDxfId="114"/>
    <tableColumn id="3" xr3:uid="{00000000-0010-0000-0300-000003000000}" name="PRKIT" dataDxfId="113"/>
    <tableColumn id="4" xr3:uid="{00000000-0010-0000-0300-000004000000}" name="PN1KIT" dataDxfId="112"/>
    <tableColumn id="5" xr3:uid="{00000000-0010-0000-0300-000005000000}" name="PN2KIT" dataDxfId="111"/>
    <tableColumn id="6" xr3:uid="{00000000-0010-0000-0300-000006000000}" name="PRItem1" dataDxfId="110"/>
    <tableColumn id="7" xr3:uid="{00000000-0010-0000-0300-000007000000}" name="PNItem1" dataDxfId="109"/>
    <tableColumn id="8" xr3:uid="{00000000-0010-0000-0300-000008000000}" name="DesItem1" dataDxfId="108"/>
    <tableColumn id="9" xr3:uid="{00000000-0010-0000-0300-000009000000}" name="QtyItem1" dataDxfId="107"/>
    <tableColumn id="10" xr3:uid="{00000000-0010-0000-0300-00000A000000}" name="UniItem1" dataDxfId="106"/>
    <tableColumn id="11" xr3:uid="{00000000-0010-0000-0300-00000B000000}" name="CMItem1" dataDxfId="105"/>
    <tableColumn id="12" xr3:uid="{00000000-0010-0000-0300-00000C000000}" name="PRItem2" dataDxfId="104"/>
    <tableColumn id="13" xr3:uid="{00000000-0010-0000-0300-00000D000000}" name="PNItem2" dataDxfId="103"/>
    <tableColumn id="14" xr3:uid="{00000000-0010-0000-0300-00000E000000}" name="DesItem2" dataDxfId="102"/>
    <tableColumn id="15" xr3:uid="{00000000-0010-0000-0300-00000F000000}" name="QtyItem2" dataDxfId="101"/>
    <tableColumn id="16" xr3:uid="{00000000-0010-0000-0300-000010000000}" name="UniItem2" dataDxfId="100"/>
    <tableColumn id="17" xr3:uid="{00000000-0010-0000-0300-000011000000}" name="CMItem2" dataDxfId="99"/>
    <tableColumn id="18" xr3:uid="{00000000-0010-0000-0300-000012000000}" name="PRItem3" dataDxfId="98"/>
    <tableColumn id="19" xr3:uid="{00000000-0010-0000-0300-000013000000}" name="PNItem3" dataDxfId="97"/>
    <tableColumn id="20" xr3:uid="{00000000-0010-0000-0300-000014000000}" name="DesItem3" dataDxfId="96"/>
    <tableColumn id="21" xr3:uid="{00000000-0010-0000-0300-000015000000}" name="QtyItem3" dataDxfId="95"/>
    <tableColumn id="22" xr3:uid="{00000000-0010-0000-0300-000016000000}" name="UniItem3" dataDxfId="94"/>
    <tableColumn id="23" xr3:uid="{00000000-0010-0000-0300-000017000000}" name="CMItem3" dataDxfId="93"/>
    <tableColumn id="24" xr3:uid="{00000000-0010-0000-0300-000018000000}" name="PRItem4" dataDxfId="92"/>
    <tableColumn id="25" xr3:uid="{00000000-0010-0000-0300-000019000000}" name="PNItem4" dataDxfId="91"/>
    <tableColumn id="26" xr3:uid="{00000000-0010-0000-0300-00001A000000}" name="DesItem4" dataDxfId="90"/>
    <tableColumn id="27" xr3:uid="{00000000-0010-0000-0300-00001B000000}" name="QtyItem4" dataDxfId="89"/>
    <tableColumn id="28" xr3:uid="{00000000-0010-0000-0300-00001C000000}" name="UniItem4" dataDxfId="88"/>
    <tableColumn id="29" xr3:uid="{00000000-0010-0000-0300-00001D000000}" name="CMItem4" dataDxfId="87"/>
    <tableColumn id="30" xr3:uid="{00000000-0010-0000-0300-00001E000000}" name="PRItem5" dataDxfId="86"/>
    <tableColumn id="31" xr3:uid="{00000000-0010-0000-0300-00001F000000}" name="PNItem5" dataDxfId="85"/>
    <tableColumn id="32" xr3:uid="{00000000-0010-0000-0300-000020000000}" name="DesItem5" dataDxfId="84"/>
    <tableColumn id="33" xr3:uid="{00000000-0010-0000-0300-000021000000}" name="QtyItem5" dataDxfId="83"/>
    <tableColumn id="34" xr3:uid="{00000000-0010-0000-0300-000022000000}" name="UniItem5" dataDxfId="82"/>
    <tableColumn id="35" xr3:uid="{00000000-0010-0000-0300-000023000000}" name="CMItem5" dataDxfId="81"/>
    <tableColumn id="36" xr3:uid="{00000000-0010-0000-0300-000024000000}" name="PRItem6" dataDxfId="80"/>
    <tableColumn id="37" xr3:uid="{00000000-0010-0000-0300-000025000000}" name="PNItem6" dataDxfId="79"/>
    <tableColumn id="38" xr3:uid="{00000000-0010-0000-0300-000026000000}" name="DesItem6" dataDxfId="78"/>
    <tableColumn id="39" xr3:uid="{00000000-0010-0000-0300-000027000000}" name="QtyItem6" dataDxfId="77"/>
    <tableColumn id="40" xr3:uid="{00000000-0010-0000-0300-000028000000}" name="UniItem6" dataDxfId="76"/>
    <tableColumn id="41" xr3:uid="{00000000-0010-0000-0300-000029000000}" name="CMItem6" dataDxfId="75"/>
    <tableColumn id="42" xr3:uid="{00000000-0010-0000-0300-00002A000000}" name="PRItem7" dataDxfId="74"/>
    <tableColumn id="43" xr3:uid="{00000000-0010-0000-0300-00002B000000}" name="PNItem7" dataDxfId="73"/>
    <tableColumn id="44" xr3:uid="{00000000-0010-0000-0300-00002C000000}" name="DesItem7" dataDxfId="72"/>
    <tableColumn id="45" xr3:uid="{00000000-0010-0000-0300-00002D000000}" name="QtyItem7" dataDxfId="71"/>
    <tableColumn id="46" xr3:uid="{00000000-0010-0000-0300-00002E000000}" name="UniItem7" dataDxfId="70"/>
    <tableColumn id="47" xr3:uid="{00000000-0010-0000-0300-00002F000000}" name="CMItem7" dataDxfId="69"/>
    <tableColumn id="48" xr3:uid="{00000000-0010-0000-0300-000030000000}" name="PRItem8" dataDxfId="68"/>
    <tableColumn id="49" xr3:uid="{00000000-0010-0000-0300-000031000000}" name="PNItem8" dataDxfId="67"/>
    <tableColumn id="50" xr3:uid="{00000000-0010-0000-0300-000032000000}" name="DesItem8" dataDxfId="66"/>
    <tableColumn id="51" xr3:uid="{00000000-0010-0000-0300-000033000000}" name="QtyItem8" dataDxfId="65"/>
    <tableColumn id="52" xr3:uid="{00000000-0010-0000-0300-000034000000}" name="UniItem8" dataDxfId="64"/>
    <tableColumn id="53" xr3:uid="{00000000-0010-0000-0300-000035000000}" name="CMItem8" dataDxfId="63"/>
    <tableColumn id="54" xr3:uid="{00000000-0010-0000-0300-000036000000}" name="OrdenProd" dataDxfId="62"/>
    <tableColumn id="55" xr3:uid="{00000000-0010-0000-0300-000037000000}" name="Qty" dataDxfId="61"/>
    <tableColumn id="57" xr3:uid="{00000000-0010-0000-0300-000039000000}" name="Hoja" dataDxfId="6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3.x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U207"/>
  <sheetViews>
    <sheetView showGridLines="0" topLeftCell="I1" zoomScale="70" zoomScaleNormal="70" workbookViewId="0">
      <selection activeCell="R12" sqref="R12"/>
    </sheetView>
  </sheetViews>
  <sheetFormatPr baseColWidth="10" defaultColWidth="9.109375" defaultRowHeight="15" x14ac:dyDescent="0.25"/>
  <cols>
    <col min="1" max="1" width="13.109375" style="4" bestFit="1" customWidth="1"/>
    <col min="2" max="2" width="26.109375" style="4" bestFit="1" customWidth="1"/>
    <col min="3" max="3" width="26.109375" style="4" customWidth="1"/>
    <col min="4" max="4" width="27.6640625" style="4" bestFit="1" customWidth="1"/>
    <col min="5" max="6" width="26.109375" style="4" customWidth="1"/>
    <col min="7" max="7" width="28.44140625" style="4" bestFit="1" customWidth="1"/>
    <col min="8" max="8" width="14.33203125" style="4" bestFit="1" customWidth="1"/>
    <col min="9" max="9" width="13.5546875" style="4" bestFit="1" customWidth="1"/>
    <col min="10" max="12" width="16" style="4" bestFit="1" customWidth="1"/>
    <col min="13" max="13" width="14.109375" style="4" bestFit="1" customWidth="1"/>
    <col min="14" max="14" width="19.33203125" style="4" bestFit="1" customWidth="1"/>
    <col min="15" max="15" width="32.6640625" style="4" bestFit="1" customWidth="1"/>
    <col min="16" max="16" width="32.6640625" style="4" customWidth="1"/>
    <col min="17" max="17" width="8.88671875" style="4" bestFit="1" customWidth="1"/>
    <col min="18" max="18" width="25.6640625" style="73" bestFit="1" customWidth="1"/>
    <col min="19" max="19" width="43.33203125" style="73" bestFit="1" customWidth="1"/>
    <col min="20" max="20" width="15.5546875" style="73" bestFit="1" customWidth="1"/>
    <col min="21" max="16384" width="9.109375" style="4"/>
  </cols>
  <sheetData>
    <row r="1" spans="1:21" s="3" customFormat="1" ht="17.399999999999999" x14ac:dyDescent="0.3">
      <c r="A1" s="5" t="s">
        <v>137</v>
      </c>
      <c r="B1" s="5" t="s">
        <v>138</v>
      </c>
      <c r="C1" s="16" t="s">
        <v>279</v>
      </c>
      <c r="D1" s="1" t="s">
        <v>139</v>
      </c>
      <c r="E1" s="1" t="s">
        <v>140</v>
      </c>
      <c r="F1" s="1" t="s">
        <v>141</v>
      </c>
      <c r="G1" s="1" t="s">
        <v>142</v>
      </c>
      <c r="H1" s="5" t="s">
        <v>277</v>
      </c>
      <c r="I1" s="2" t="s">
        <v>291</v>
      </c>
      <c r="M1" s="18" t="s">
        <v>364</v>
      </c>
      <c r="N1" s="11" t="s">
        <v>365</v>
      </c>
      <c r="O1" s="11" t="s">
        <v>366</v>
      </c>
      <c r="P1" s="11" t="s">
        <v>279</v>
      </c>
      <c r="Q1" s="11" t="s">
        <v>367</v>
      </c>
      <c r="R1" s="11" t="s">
        <v>138</v>
      </c>
      <c r="S1" s="11" t="s">
        <v>368</v>
      </c>
      <c r="T1" s="81" t="s">
        <v>369</v>
      </c>
    </row>
    <row r="2" spans="1:21" x14ac:dyDescent="0.25">
      <c r="A2" s="6" t="s">
        <v>81</v>
      </c>
      <c r="B2" s="6" t="s">
        <v>143</v>
      </c>
      <c r="C2" s="6" t="s">
        <v>328</v>
      </c>
      <c r="D2" s="6" t="s">
        <v>144</v>
      </c>
      <c r="E2" s="6" t="s">
        <v>145</v>
      </c>
      <c r="F2" s="6" t="s">
        <v>146</v>
      </c>
      <c r="G2" s="6" t="s">
        <v>147</v>
      </c>
      <c r="H2" s="8" t="s">
        <v>274</v>
      </c>
      <c r="I2" s="13" t="s">
        <v>219</v>
      </c>
      <c r="M2" s="77" t="s">
        <v>270</v>
      </c>
      <c r="N2" s="10" t="s">
        <v>352</v>
      </c>
      <c r="O2" s="10" t="s">
        <v>172</v>
      </c>
      <c r="P2" s="10" t="s">
        <v>372</v>
      </c>
      <c r="Q2" s="10" t="s">
        <v>47</v>
      </c>
      <c r="R2" s="10">
        <v>21707133</v>
      </c>
      <c r="S2" s="10" t="s">
        <v>48</v>
      </c>
      <c r="T2" s="79">
        <v>2</v>
      </c>
    </row>
    <row r="3" spans="1:21" x14ac:dyDescent="0.25">
      <c r="A3" s="6" t="s">
        <v>81</v>
      </c>
      <c r="B3" s="6" t="s">
        <v>148</v>
      </c>
      <c r="C3" s="6" t="s">
        <v>329</v>
      </c>
      <c r="D3" s="6" t="s">
        <v>149</v>
      </c>
      <c r="E3" s="6" t="s">
        <v>145</v>
      </c>
      <c r="F3" s="6" t="s">
        <v>146</v>
      </c>
      <c r="G3" s="6" t="s">
        <v>147</v>
      </c>
      <c r="H3" s="8" t="s">
        <v>274</v>
      </c>
      <c r="I3" s="12" t="s">
        <v>220</v>
      </c>
      <c r="M3" s="77" t="s">
        <v>270</v>
      </c>
      <c r="N3" s="10" t="s">
        <v>352</v>
      </c>
      <c r="O3" s="10" t="s">
        <v>172</v>
      </c>
      <c r="P3" s="10" t="s">
        <v>373</v>
      </c>
      <c r="Q3" s="10" t="s">
        <v>47</v>
      </c>
      <c r="R3" s="10">
        <v>21707132</v>
      </c>
      <c r="S3" s="10" t="s">
        <v>50</v>
      </c>
      <c r="T3" s="79">
        <v>1</v>
      </c>
    </row>
    <row r="4" spans="1:21" ht="15.6" x14ac:dyDescent="0.3">
      <c r="A4" s="6" t="s">
        <v>81</v>
      </c>
      <c r="B4" s="6" t="s">
        <v>150</v>
      </c>
      <c r="C4" s="6" t="s">
        <v>330</v>
      </c>
      <c r="D4" s="6" t="s">
        <v>151</v>
      </c>
      <c r="E4" s="6" t="s">
        <v>145</v>
      </c>
      <c r="F4" s="6" t="s">
        <v>146</v>
      </c>
      <c r="G4" s="6" t="s">
        <v>147</v>
      </c>
      <c r="H4" s="8" t="s">
        <v>274</v>
      </c>
      <c r="I4" s="12" t="s">
        <v>221</v>
      </c>
      <c r="M4" s="77" t="s">
        <v>270</v>
      </c>
      <c r="N4" s="10" t="s">
        <v>352</v>
      </c>
      <c r="O4" s="10" t="s">
        <v>172</v>
      </c>
      <c r="P4" s="10" t="s">
        <v>374</v>
      </c>
      <c r="Q4" s="10" t="s">
        <v>47</v>
      </c>
      <c r="R4" s="10">
        <v>22480372</v>
      </c>
      <c r="S4" s="10" t="s">
        <v>52</v>
      </c>
      <c r="T4" s="79">
        <v>1</v>
      </c>
      <c r="U4"/>
    </row>
    <row r="5" spans="1:21" ht="15.6" x14ac:dyDescent="0.3">
      <c r="A5" s="6" t="s">
        <v>81</v>
      </c>
      <c r="B5" s="6" t="s">
        <v>152</v>
      </c>
      <c r="C5" s="6" t="s">
        <v>331</v>
      </c>
      <c r="D5" s="6" t="s">
        <v>153</v>
      </c>
      <c r="E5" s="6" t="s">
        <v>145</v>
      </c>
      <c r="F5" s="6" t="s">
        <v>146</v>
      </c>
      <c r="G5" s="6" t="s">
        <v>147</v>
      </c>
      <c r="H5" s="8" t="s">
        <v>274</v>
      </c>
      <c r="I5" s="12" t="s">
        <v>222</v>
      </c>
      <c r="M5" s="77" t="s">
        <v>270</v>
      </c>
      <c r="N5" s="10" t="s">
        <v>352</v>
      </c>
      <c r="O5" s="10" t="s">
        <v>172</v>
      </c>
      <c r="P5" s="10" t="s">
        <v>375</v>
      </c>
      <c r="Q5" s="10" t="s">
        <v>47</v>
      </c>
      <c r="R5" s="10">
        <v>21380488</v>
      </c>
      <c r="S5" s="10" t="s">
        <v>52</v>
      </c>
      <c r="T5" s="79">
        <v>1</v>
      </c>
      <c r="U5"/>
    </row>
    <row r="6" spans="1:21" ht="15.6" x14ac:dyDescent="0.3">
      <c r="A6" s="6" t="s">
        <v>81</v>
      </c>
      <c r="B6" s="6" t="s">
        <v>154</v>
      </c>
      <c r="C6" s="6" t="s">
        <v>260</v>
      </c>
      <c r="D6" s="6" t="s">
        <v>155</v>
      </c>
      <c r="E6" s="6" t="s">
        <v>156</v>
      </c>
      <c r="F6" s="6" t="s">
        <v>146</v>
      </c>
      <c r="G6" s="6" t="s">
        <v>157</v>
      </c>
      <c r="H6" s="8" t="s">
        <v>273</v>
      </c>
      <c r="I6" s="12" t="s">
        <v>223</v>
      </c>
      <c r="M6" s="77" t="s">
        <v>270</v>
      </c>
      <c r="N6" s="10" t="s">
        <v>352</v>
      </c>
      <c r="O6" s="10" t="s">
        <v>172</v>
      </c>
      <c r="P6" s="10" t="s">
        <v>376</v>
      </c>
      <c r="Q6" s="10" t="s">
        <v>1</v>
      </c>
      <c r="R6" s="10">
        <v>20002050</v>
      </c>
      <c r="S6" s="10" t="s">
        <v>136</v>
      </c>
      <c r="T6" s="79">
        <v>1</v>
      </c>
      <c r="U6"/>
    </row>
    <row r="7" spans="1:21" ht="15.6" x14ac:dyDescent="0.3">
      <c r="A7" s="6" t="s">
        <v>81</v>
      </c>
      <c r="B7" s="6" t="s">
        <v>158</v>
      </c>
      <c r="C7" s="6" t="s">
        <v>261</v>
      </c>
      <c r="D7" s="6" t="s">
        <v>80</v>
      </c>
      <c r="E7" s="6" t="s">
        <v>156</v>
      </c>
      <c r="F7" s="6" t="s">
        <v>146</v>
      </c>
      <c r="G7" s="6" t="s">
        <v>157</v>
      </c>
      <c r="H7" s="8" t="s">
        <v>273</v>
      </c>
      <c r="I7" s="12" t="s">
        <v>224</v>
      </c>
      <c r="M7" s="77" t="s">
        <v>270</v>
      </c>
      <c r="N7" s="10" t="s">
        <v>268</v>
      </c>
      <c r="O7" s="10" t="s">
        <v>175</v>
      </c>
      <c r="P7" s="10" t="s">
        <v>372</v>
      </c>
      <c r="Q7" s="10" t="s">
        <v>47</v>
      </c>
      <c r="R7" s="10">
        <v>21707133</v>
      </c>
      <c r="S7" s="10" t="s">
        <v>48</v>
      </c>
      <c r="T7" s="79">
        <v>2</v>
      </c>
      <c r="U7"/>
    </row>
    <row r="8" spans="1:21" ht="15.6" x14ac:dyDescent="0.3">
      <c r="A8" s="6" t="s">
        <v>81</v>
      </c>
      <c r="B8" s="6" t="s">
        <v>159</v>
      </c>
      <c r="C8" s="6" t="s">
        <v>262</v>
      </c>
      <c r="D8" s="6" t="s">
        <v>101</v>
      </c>
      <c r="E8" s="6" t="s">
        <v>156</v>
      </c>
      <c r="F8" s="6" t="s">
        <v>146</v>
      </c>
      <c r="G8" s="6" t="s">
        <v>160</v>
      </c>
      <c r="H8" s="8" t="s">
        <v>273</v>
      </c>
      <c r="I8" s="12" t="s">
        <v>225</v>
      </c>
      <c r="M8" s="77" t="s">
        <v>270</v>
      </c>
      <c r="N8" s="10" t="s">
        <v>268</v>
      </c>
      <c r="O8" s="10" t="s">
        <v>175</v>
      </c>
      <c r="P8" s="10" t="s">
        <v>373</v>
      </c>
      <c r="Q8" s="10" t="s">
        <v>47</v>
      </c>
      <c r="R8" s="10">
        <v>21707132</v>
      </c>
      <c r="S8" s="10" t="s">
        <v>50</v>
      </c>
      <c r="T8" s="79">
        <v>1</v>
      </c>
      <c r="U8"/>
    </row>
    <row r="9" spans="1:21" ht="15.6" x14ac:dyDescent="0.3">
      <c r="A9" s="6" t="s">
        <v>81</v>
      </c>
      <c r="B9" s="6" t="s">
        <v>161</v>
      </c>
      <c r="C9" s="6" t="s">
        <v>263</v>
      </c>
      <c r="D9" s="6" t="s">
        <v>102</v>
      </c>
      <c r="E9" s="6" t="s">
        <v>156</v>
      </c>
      <c r="F9" s="6" t="s">
        <v>146</v>
      </c>
      <c r="G9" s="6" t="s">
        <v>162</v>
      </c>
      <c r="H9" s="8" t="s">
        <v>273</v>
      </c>
      <c r="I9" s="12" t="s">
        <v>226</v>
      </c>
      <c r="M9" s="77" t="s">
        <v>270</v>
      </c>
      <c r="N9" s="10" t="s">
        <v>268</v>
      </c>
      <c r="O9" s="10" t="s">
        <v>175</v>
      </c>
      <c r="P9" s="10" t="s">
        <v>374</v>
      </c>
      <c r="Q9" s="10" t="s">
        <v>47</v>
      </c>
      <c r="R9" s="10">
        <v>22480372</v>
      </c>
      <c r="S9" s="10" t="s">
        <v>52</v>
      </c>
      <c r="T9" s="79">
        <v>1</v>
      </c>
      <c r="U9"/>
    </row>
    <row r="10" spans="1:21" ht="15.6" x14ac:dyDescent="0.3">
      <c r="A10" s="6" t="s">
        <v>81</v>
      </c>
      <c r="B10" s="6" t="s">
        <v>163</v>
      </c>
      <c r="C10" s="6" t="s">
        <v>264</v>
      </c>
      <c r="D10" s="6" t="s">
        <v>103</v>
      </c>
      <c r="E10" s="6" t="s">
        <v>156</v>
      </c>
      <c r="F10" s="6" t="s">
        <v>146</v>
      </c>
      <c r="G10" s="6" t="s">
        <v>162</v>
      </c>
      <c r="H10" s="8" t="s">
        <v>273</v>
      </c>
      <c r="I10" s="12" t="s">
        <v>227</v>
      </c>
      <c r="M10" s="77" t="s">
        <v>270</v>
      </c>
      <c r="N10" s="10" t="s">
        <v>268</v>
      </c>
      <c r="O10" s="10" t="s">
        <v>175</v>
      </c>
      <c r="P10" s="10" t="s">
        <v>377</v>
      </c>
      <c r="Q10" s="10" t="s">
        <v>47</v>
      </c>
      <c r="R10" s="10">
        <v>21380475</v>
      </c>
      <c r="S10" s="10" t="s">
        <v>52</v>
      </c>
      <c r="T10" s="79">
        <v>1</v>
      </c>
      <c r="U10"/>
    </row>
    <row r="11" spans="1:21" ht="15.6" x14ac:dyDescent="0.3">
      <c r="A11" s="6" t="s">
        <v>81</v>
      </c>
      <c r="B11" s="6" t="s">
        <v>164</v>
      </c>
      <c r="C11" s="6" t="s">
        <v>265</v>
      </c>
      <c r="D11" s="6" t="s">
        <v>165</v>
      </c>
      <c r="E11" s="6" t="s">
        <v>156</v>
      </c>
      <c r="F11" s="6" t="s">
        <v>146</v>
      </c>
      <c r="G11" s="6" t="s">
        <v>160</v>
      </c>
      <c r="H11" s="8" t="s">
        <v>273</v>
      </c>
      <c r="I11" s="12" t="s">
        <v>228</v>
      </c>
      <c r="M11" s="77" t="s">
        <v>270</v>
      </c>
      <c r="N11" s="10" t="s">
        <v>268</v>
      </c>
      <c r="O11" s="10" t="s">
        <v>175</v>
      </c>
      <c r="P11" s="10" t="s">
        <v>376</v>
      </c>
      <c r="Q11" s="10" t="s">
        <v>1</v>
      </c>
      <c r="R11" s="10">
        <v>20002050</v>
      </c>
      <c r="S11" s="10" t="s">
        <v>136</v>
      </c>
      <c r="T11" s="79">
        <v>1</v>
      </c>
      <c r="U11"/>
    </row>
    <row r="12" spans="1:21" ht="15.6" x14ac:dyDescent="0.3">
      <c r="A12" s="6" t="s">
        <v>81</v>
      </c>
      <c r="B12" s="6" t="s">
        <v>166</v>
      </c>
      <c r="C12" s="6" t="s">
        <v>266</v>
      </c>
      <c r="D12" s="6" t="s">
        <v>105</v>
      </c>
      <c r="E12" s="6" t="s">
        <v>156</v>
      </c>
      <c r="F12" s="6" t="s">
        <v>146</v>
      </c>
      <c r="G12" s="6" t="s">
        <v>160</v>
      </c>
      <c r="H12" s="8" t="s">
        <v>273</v>
      </c>
      <c r="I12" s="12" t="s">
        <v>229</v>
      </c>
      <c r="M12" s="77" t="s">
        <v>270</v>
      </c>
      <c r="N12" s="10" t="s">
        <v>353</v>
      </c>
      <c r="O12" s="10" t="s">
        <v>340</v>
      </c>
      <c r="P12" s="10" t="s">
        <v>372</v>
      </c>
      <c r="Q12" s="10" t="s">
        <v>47</v>
      </c>
      <c r="R12" s="10">
        <v>21707133</v>
      </c>
      <c r="S12" s="10" t="s">
        <v>48</v>
      </c>
      <c r="T12" s="79">
        <v>2</v>
      </c>
      <c r="U12"/>
    </row>
    <row r="13" spans="1:21" ht="15.6" x14ac:dyDescent="0.3">
      <c r="A13" s="6" t="s">
        <v>81</v>
      </c>
      <c r="B13" s="6" t="s">
        <v>167</v>
      </c>
      <c r="C13" s="6" t="s">
        <v>267</v>
      </c>
      <c r="D13" s="6" t="s">
        <v>339</v>
      </c>
      <c r="E13" s="6" t="s">
        <v>156</v>
      </c>
      <c r="F13" s="6" t="s">
        <v>146</v>
      </c>
      <c r="G13" s="6" t="s">
        <v>162</v>
      </c>
      <c r="H13" s="8" t="s">
        <v>273</v>
      </c>
      <c r="I13" s="12" t="s">
        <v>230</v>
      </c>
      <c r="M13" s="77" t="s">
        <v>270</v>
      </c>
      <c r="N13" s="10" t="s">
        <v>353</v>
      </c>
      <c r="O13" s="10" t="s">
        <v>340</v>
      </c>
      <c r="P13" s="10" t="s">
        <v>373</v>
      </c>
      <c r="Q13" s="10" t="s">
        <v>47</v>
      </c>
      <c r="R13" s="10">
        <v>21707132</v>
      </c>
      <c r="S13" s="10" t="s">
        <v>50</v>
      </c>
      <c r="T13" s="79">
        <v>1</v>
      </c>
      <c r="U13"/>
    </row>
    <row r="14" spans="1:21" ht="15.6" x14ac:dyDescent="0.3">
      <c r="A14" s="6" t="s">
        <v>81</v>
      </c>
      <c r="B14" s="6" t="s">
        <v>168</v>
      </c>
      <c r="C14" s="6" t="str">
        <f t="shared" ref="C14:C42" si="0">CONCATENATE(A14,B14)</f>
        <v>PE120001266</v>
      </c>
      <c r="D14" s="6" t="s">
        <v>169</v>
      </c>
      <c r="E14" s="6" t="s">
        <v>156</v>
      </c>
      <c r="F14" s="6" t="s">
        <v>146</v>
      </c>
      <c r="G14" s="6" t="s">
        <v>170</v>
      </c>
      <c r="H14" s="8" t="s">
        <v>273</v>
      </c>
      <c r="I14" s="12" t="s">
        <v>231</v>
      </c>
      <c r="M14" s="77" t="s">
        <v>270</v>
      </c>
      <c r="N14" s="10" t="s">
        <v>353</v>
      </c>
      <c r="O14" s="10" t="s">
        <v>340</v>
      </c>
      <c r="P14" s="10" t="s">
        <v>378</v>
      </c>
      <c r="Q14" s="10" t="s">
        <v>47</v>
      </c>
      <c r="R14" s="10">
        <v>21632237</v>
      </c>
      <c r="S14" s="10" t="s">
        <v>63</v>
      </c>
      <c r="T14" s="79">
        <v>1</v>
      </c>
      <c r="U14"/>
    </row>
    <row r="15" spans="1:21" ht="15.6" x14ac:dyDescent="0.3">
      <c r="A15" s="6" t="s">
        <v>1</v>
      </c>
      <c r="B15" s="6" t="s">
        <v>171</v>
      </c>
      <c r="C15" s="6" t="str">
        <f t="shared" si="0"/>
        <v>PE220001971</v>
      </c>
      <c r="D15" s="6" t="s">
        <v>172</v>
      </c>
      <c r="E15" s="6" t="s">
        <v>145</v>
      </c>
      <c r="F15" s="6" t="s">
        <v>173</v>
      </c>
      <c r="G15" s="6" t="s">
        <v>147</v>
      </c>
      <c r="H15" s="8" t="s">
        <v>270</v>
      </c>
      <c r="I15" s="12" t="s">
        <v>232</v>
      </c>
      <c r="M15" s="77" t="s">
        <v>270</v>
      </c>
      <c r="N15" s="10" t="s">
        <v>353</v>
      </c>
      <c r="O15" s="10" t="s">
        <v>340</v>
      </c>
      <c r="P15" s="10" t="s">
        <v>377</v>
      </c>
      <c r="Q15" s="10" t="s">
        <v>47</v>
      </c>
      <c r="R15" s="10">
        <v>21380475</v>
      </c>
      <c r="S15" s="10" t="s">
        <v>63</v>
      </c>
      <c r="T15" s="79">
        <v>1</v>
      </c>
      <c r="U15"/>
    </row>
    <row r="16" spans="1:21" ht="15.6" x14ac:dyDescent="0.3">
      <c r="A16" s="6" t="s">
        <v>1</v>
      </c>
      <c r="B16" s="6" t="s">
        <v>174</v>
      </c>
      <c r="C16" s="6" t="str">
        <f t="shared" si="0"/>
        <v>PE220001973</v>
      </c>
      <c r="D16" s="6" t="s">
        <v>175</v>
      </c>
      <c r="E16" s="6" t="s">
        <v>145</v>
      </c>
      <c r="F16" s="6" t="s">
        <v>173</v>
      </c>
      <c r="G16" s="6" t="s">
        <v>147</v>
      </c>
      <c r="H16" s="8" t="s">
        <v>270</v>
      </c>
      <c r="I16" s="12" t="s">
        <v>233</v>
      </c>
      <c r="M16" s="77" t="s">
        <v>270</v>
      </c>
      <c r="N16" s="10" t="s">
        <v>353</v>
      </c>
      <c r="O16" s="10" t="s">
        <v>340</v>
      </c>
      <c r="P16" s="10" t="s">
        <v>376</v>
      </c>
      <c r="Q16" s="10" t="s">
        <v>1</v>
      </c>
      <c r="R16" s="10">
        <v>20002050</v>
      </c>
      <c r="S16" s="10" t="s">
        <v>136</v>
      </c>
      <c r="T16" s="79">
        <v>1</v>
      </c>
      <c r="U16"/>
    </row>
    <row r="17" spans="1:21" ht="15.6" x14ac:dyDescent="0.3">
      <c r="A17" s="6" t="s">
        <v>1</v>
      </c>
      <c r="B17" s="6" t="s">
        <v>176</v>
      </c>
      <c r="C17" s="6" t="str">
        <f t="shared" si="0"/>
        <v>PE220001974</v>
      </c>
      <c r="D17" s="6" t="s">
        <v>340</v>
      </c>
      <c r="E17" s="6" t="s">
        <v>145</v>
      </c>
      <c r="F17" s="6" t="s">
        <v>173</v>
      </c>
      <c r="G17" s="6" t="s">
        <v>147</v>
      </c>
      <c r="H17" s="8" t="s">
        <v>270</v>
      </c>
      <c r="I17" s="12" t="s">
        <v>234</v>
      </c>
      <c r="M17" s="77" t="s">
        <v>270</v>
      </c>
      <c r="N17" s="10" t="s">
        <v>354</v>
      </c>
      <c r="O17" s="10" t="s">
        <v>178</v>
      </c>
      <c r="P17" s="10" t="s">
        <v>379</v>
      </c>
      <c r="Q17" s="10" t="s">
        <v>47</v>
      </c>
      <c r="R17" s="10">
        <v>21707134</v>
      </c>
      <c r="S17" s="10" t="s">
        <v>60</v>
      </c>
      <c r="T17" s="79">
        <v>1</v>
      </c>
      <c r="U17"/>
    </row>
    <row r="18" spans="1:21" ht="15.6" x14ac:dyDescent="0.3">
      <c r="A18" s="6" t="s">
        <v>1</v>
      </c>
      <c r="B18" s="6" t="s">
        <v>177</v>
      </c>
      <c r="C18" s="6" t="str">
        <f t="shared" si="0"/>
        <v>PE220001975</v>
      </c>
      <c r="D18" s="6" t="s">
        <v>178</v>
      </c>
      <c r="E18" s="6" t="s">
        <v>145</v>
      </c>
      <c r="F18" s="6" t="s">
        <v>173</v>
      </c>
      <c r="G18" s="6" t="s">
        <v>147</v>
      </c>
      <c r="H18" s="8" t="s">
        <v>270</v>
      </c>
      <c r="I18" s="12" t="s">
        <v>235</v>
      </c>
      <c r="M18" s="77" t="s">
        <v>270</v>
      </c>
      <c r="N18" s="10" t="s">
        <v>354</v>
      </c>
      <c r="O18" s="10" t="s">
        <v>178</v>
      </c>
      <c r="P18" s="10" t="s">
        <v>380</v>
      </c>
      <c r="Q18" s="10" t="s">
        <v>47</v>
      </c>
      <c r="R18" s="10">
        <v>20841523</v>
      </c>
      <c r="S18" s="10" t="s">
        <v>52</v>
      </c>
      <c r="T18" s="79">
        <v>1</v>
      </c>
      <c r="U18"/>
    </row>
    <row r="19" spans="1:21" ht="15.6" x14ac:dyDescent="0.3">
      <c r="A19" s="6" t="s">
        <v>1</v>
      </c>
      <c r="B19" s="6" t="s">
        <v>179</v>
      </c>
      <c r="C19" s="6" t="str">
        <f t="shared" si="0"/>
        <v>PE220001976</v>
      </c>
      <c r="D19" s="6" t="s">
        <v>180</v>
      </c>
      <c r="E19" s="6" t="s">
        <v>145</v>
      </c>
      <c r="F19" s="6" t="s">
        <v>173</v>
      </c>
      <c r="G19" s="6" t="s">
        <v>147</v>
      </c>
      <c r="H19" s="8" t="s">
        <v>270</v>
      </c>
      <c r="I19" s="12" t="s">
        <v>236</v>
      </c>
      <c r="M19" s="77" t="s">
        <v>270</v>
      </c>
      <c r="N19" s="10" t="s">
        <v>354</v>
      </c>
      <c r="O19" s="10" t="s">
        <v>178</v>
      </c>
      <c r="P19" s="10" t="s">
        <v>381</v>
      </c>
      <c r="Q19" s="10" t="s">
        <v>47</v>
      </c>
      <c r="R19" s="10">
        <v>8159975</v>
      </c>
      <c r="S19" s="10" t="s">
        <v>343</v>
      </c>
      <c r="T19" s="79">
        <v>1</v>
      </c>
      <c r="U19"/>
    </row>
    <row r="20" spans="1:21" ht="15.6" x14ac:dyDescent="0.3">
      <c r="A20" s="6" t="s">
        <v>1</v>
      </c>
      <c r="B20" s="6" t="s">
        <v>181</v>
      </c>
      <c r="C20" s="6" t="str">
        <f t="shared" si="0"/>
        <v>PE220001979</v>
      </c>
      <c r="D20" s="6" t="s">
        <v>182</v>
      </c>
      <c r="E20" s="6" t="s">
        <v>156</v>
      </c>
      <c r="F20" s="6" t="s">
        <v>173</v>
      </c>
      <c r="G20" s="6" t="s">
        <v>183</v>
      </c>
      <c r="H20" s="8" t="s">
        <v>269</v>
      </c>
      <c r="I20" s="12" t="s">
        <v>237</v>
      </c>
      <c r="M20" s="77" t="s">
        <v>270</v>
      </c>
      <c r="N20" s="10" t="s">
        <v>354</v>
      </c>
      <c r="O20" s="10" t="s">
        <v>178</v>
      </c>
      <c r="P20" s="10" t="s">
        <v>376</v>
      </c>
      <c r="Q20" s="10" t="s">
        <v>1</v>
      </c>
      <c r="R20" s="10">
        <v>20002050</v>
      </c>
      <c r="S20" s="10" t="s">
        <v>136</v>
      </c>
      <c r="T20" s="79">
        <v>1</v>
      </c>
      <c r="U20"/>
    </row>
    <row r="21" spans="1:21" ht="15.6" x14ac:dyDescent="0.3">
      <c r="A21" s="6" t="s">
        <v>1</v>
      </c>
      <c r="B21" s="6" t="s">
        <v>184</v>
      </c>
      <c r="C21" s="6" t="str">
        <f t="shared" si="0"/>
        <v>PE220002044</v>
      </c>
      <c r="D21" s="6" t="s">
        <v>185</v>
      </c>
      <c r="E21" s="6" t="s">
        <v>145</v>
      </c>
      <c r="F21" s="6" t="s">
        <v>173</v>
      </c>
      <c r="G21" s="6" t="s">
        <v>147</v>
      </c>
      <c r="H21" s="8" t="s">
        <v>270</v>
      </c>
      <c r="I21" s="12" t="s">
        <v>238</v>
      </c>
      <c r="M21" s="77" t="s">
        <v>270</v>
      </c>
      <c r="N21" s="10" t="s">
        <v>355</v>
      </c>
      <c r="O21" s="10" t="s">
        <v>180</v>
      </c>
      <c r="P21" s="10" t="s">
        <v>372</v>
      </c>
      <c r="Q21" s="10" t="s">
        <v>47</v>
      </c>
      <c r="R21" s="10">
        <v>21707133</v>
      </c>
      <c r="S21" s="10" t="s">
        <v>48</v>
      </c>
      <c r="T21" s="79">
        <v>2</v>
      </c>
      <c r="U21"/>
    </row>
    <row r="22" spans="1:21" ht="15.6" x14ac:dyDescent="0.3">
      <c r="A22" s="6" t="s">
        <v>1</v>
      </c>
      <c r="B22" s="6" t="s">
        <v>186</v>
      </c>
      <c r="C22" s="6" t="str">
        <f t="shared" si="0"/>
        <v>PE220002046</v>
      </c>
      <c r="D22" s="6" t="s">
        <v>187</v>
      </c>
      <c r="E22" s="6" t="s">
        <v>145</v>
      </c>
      <c r="F22" s="6" t="s">
        <v>173</v>
      </c>
      <c r="G22" s="6" t="s">
        <v>147</v>
      </c>
      <c r="H22" s="8" t="s">
        <v>270</v>
      </c>
      <c r="I22" s="12" t="s">
        <v>239</v>
      </c>
      <c r="M22" s="77" t="s">
        <v>270</v>
      </c>
      <c r="N22" s="10" t="s">
        <v>355</v>
      </c>
      <c r="O22" s="10" t="s">
        <v>180</v>
      </c>
      <c r="P22" s="10" t="s">
        <v>373</v>
      </c>
      <c r="Q22" s="10" t="s">
        <v>47</v>
      </c>
      <c r="R22" s="10">
        <v>21707132</v>
      </c>
      <c r="S22" s="10" t="s">
        <v>50</v>
      </c>
      <c r="T22" s="79">
        <v>1</v>
      </c>
      <c r="U22"/>
    </row>
    <row r="23" spans="1:21" ht="15.6" x14ac:dyDescent="0.3">
      <c r="A23" s="6" t="s">
        <v>1</v>
      </c>
      <c r="B23" s="6" t="s">
        <v>188</v>
      </c>
      <c r="C23" s="6" t="str">
        <f t="shared" si="0"/>
        <v>PE220002047</v>
      </c>
      <c r="D23" s="6" t="s">
        <v>180</v>
      </c>
      <c r="E23" s="6" t="s">
        <v>145</v>
      </c>
      <c r="F23" s="6" t="s">
        <v>173</v>
      </c>
      <c r="G23" s="6" t="s">
        <v>147</v>
      </c>
      <c r="H23" s="8" t="s">
        <v>270</v>
      </c>
      <c r="I23" s="12" t="s">
        <v>240</v>
      </c>
      <c r="M23" s="77" t="s">
        <v>270</v>
      </c>
      <c r="N23" s="10" t="s">
        <v>355</v>
      </c>
      <c r="O23" s="10" t="s">
        <v>180</v>
      </c>
      <c r="P23" s="10" t="s">
        <v>374</v>
      </c>
      <c r="Q23" s="10" t="s">
        <v>47</v>
      </c>
      <c r="R23" s="10">
        <v>22480372</v>
      </c>
      <c r="S23" s="10" t="s">
        <v>52</v>
      </c>
      <c r="T23" s="79">
        <v>1</v>
      </c>
      <c r="U23"/>
    </row>
    <row r="24" spans="1:21" ht="15.6" x14ac:dyDescent="0.3">
      <c r="A24" s="6" t="s">
        <v>1</v>
      </c>
      <c r="B24" s="6" t="s">
        <v>189</v>
      </c>
      <c r="C24" s="6" t="str">
        <f t="shared" si="0"/>
        <v>PE220002048</v>
      </c>
      <c r="D24" s="6" t="s">
        <v>190</v>
      </c>
      <c r="E24" s="6" t="s">
        <v>156</v>
      </c>
      <c r="F24" s="6" t="s">
        <v>173</v>
      </c>
      <c r="G24" s="6" t="s">
        <v>183</v>
      </c>
      <c r="H24" s="8" t="s">
        <v>269</v>
      </c>
      <c r="I24" s="12" t="s">
        <v>241</v>
      </c>
      <c r="M24" s="77" t="s">
        <v>270</v>
      </c>
      <c r="N24" s="10" t="s">
        <v>355</v>
      </c>
      <c r="O24" s="10" t="s">
        <v>180</v>
      </c>
      <c r="P24" s="10" t="s">
        <v>382</v>
      </c>
      <c r="Q24" s="10" t="s">
        <v>47</v>
      </c>
      <c r="R24" s="10">
        <v>20998367</v>
      </c>
      <c r="S24" s="10" t="s">
        <v>58</v>
      </c>
      <c r="T24" s="79">
        <v>1</v>
      </c>
      <c r="U24"/>
    </row>
    <row r="25" spans="1:21" ht="15.6" x14ac:dyDescent="0.3">
      <c r="A25" s="6" t="s">
        <v>1</v>
      </c>
      <c r="B25" s="6" t="s">
        <v>191</v>
      </c>
      <c r="C25" s="6" t="str">
        <f t="shared" si="0"/>
        <v>PE220002049</v>
      </c>
      <c r="D25" s="6" t="s">
        <v>192</v>
      </c>
      <c r="E25" s="6" t="s">
        <v>145</v>
      </c>
      <c r="F25" s="6" t="s">
        <v>173</v>
      </c>
      <c r="G25" s="6" t="s">
        <v>147</v>
      </c>
      <c r="H25" s="8" t="s">
        <v>270</v>
      </c>
      <c r="I25" s="12" t="s">
        <v>242</v>
      </c>
      <c r="M25" s="77" t="s">
        <v>270</v>
      </c>
      <c r="N25" s="10" t="s">
        <v>355</v>
      </c>
      <c r="O25" s="10" t="s">
        <v>180</v>
      </c>
      <c r="P25" s="10" t="s">
        <v>376</v>
      </c>
      <c r="Q25" s="10" t="s">
        <v>1</v>
      </c>
      <c r="R25" s="10">
        <v>20002050</v>
      </c>
      <c r="S25" s="10" t="s">
        <v>136</v>
      </c>
      <c r="T25" s="79">
        <v>1</v>
      </c>
      <c r="U25"/>
    </row>
    <row r="26" spans="1:21" ht="15.6" x14ac:dyDescent="0.3">
      <c r="A26" s="6" t="s">
        <v>1</v>
      </c>
      <c r="B26" s="6" t="s">
        <v>193</v>
      </c>
      <c r="C26" s="6" t="str">
        <f t="shared" si="0"/>
        <v>PE220002051</v>
      </c>
      <c r="D26" s="6" t="s">
        <v>108</v>
      </c>
      <c r="E26" s="6" t="s">
        <v>156</v>
      </c>
      <c r="F26" s="6" t="s">
        <v>173</v>
      </c>
      <c r="G26" s="6" t="s">
        <v>160</v>
      </c>
      <c r="H26" s="8" t="s">
        <v>269</v>
      </c>
      <c r="I26" s="12" t="s">
        <v>243</v>
      </c>
      <c r="M26" s="77" t="s">
        <v>270</v>
      </c>
      <c r="N26" s="10" t="s">
        <v>356</v>
      </c>
      <c r="O26" s="10" t="s">
        <v>185</v>
      </c>
      <c r="P26" s="10" t="s">
        <v>383</v>
      </c>
      <c r="Q26" s="10" t="s">
        <v>47</v>
      </c>
      <c r="R26" s="10">
        <v>20998807</v>
      </c>
      <c r="S26" s="10" t="s">
        <v>345</v>
      </c>
      <c r="T26" s="79">
        <v>1</v>
      </c>
      <c r="U26"/>
    </row>
    <row r="27" spans="1:21" ht="15.6" x14ac:dyDescent="0.3">
      <c r="A27" s="6" t="s">
        <v>1</v>
      </c>
      <c r="B27" s="6" t="s">
        <v>194</v>
      </c>
      <c r="C27" s="6" t="str">
        <f t="shared" si="0"/>
        <v>PE220002053</v>
      </c>
      <c r="D27" s="6" t="s">
        <v>132</v>
      </c>
      <c r="E27" s="6" t="s">
        <v>156</v>
      </c>
      <c r="F27" s="6" t="s">
        <v>173</v>
      </c>
      <c r="G27" s="6" t="s">
        <v>170</v>
      </c>
      <c r="H27" s="8" t="s">
        <v>269</v>
      </c>
      <c r="I27" s="12" t="s">
        <v>244</v>
      </c>
      <c r="M27" s="77" t="s">
        <v>270</v>
      </c>
      <c r="N27" s="10" t="s">
        <v>356</v>
      </c>
      <c r="O27" s="10" t="s">
        <v>185</v>
      </c>
      <c r="P27" s="10" t="s">
        <v>384</v>
      </c>
      <c r="Q27" s="10" t="s">
        <v>47</v>
      </c>
      <c r="R27" s="10">
        <v>20998805</v>
      </c>
      <c r="S27" s="10" t="s">
        <v>346</v>
      </c>
      <c r="T27" s="79">
        <v>1</v>
      </c>
      <c r="U27"/>
    </row>
    <row r="28" spans="1:21" ht="15.6" x14ac:dyDescent="0.3">
      <c r="A28" s="6" t="s">
        <v>1</v>
      </c>
      <c r="B28" s="6" t="s">
        <v>195</v>
      </c>
      <c r="C28" s="6" t="str">
        <f t="shared" si="0"/>
        <v>PE220002055</v>
      </c>
      <c r="D28" s="6" t="s">
        <v>196</v>
      </c>
      <c r="E28" s="6" t="s">
        <v>156</v>
      </c>
      <c r="F28" s="6" t="s">
        <v>173</v>
      </c>
      <c r="G28" s="6" t="s">
        <v>160</v>
      </c>
      <c r="H28" s="8" t="s">
        <v>269</v>
      </c>
      <c r="I28" s="12" t="s">
        <v>245</v>
      </c>
      <c r="M28" s="77" t="s">
        <v>270</v>
      </c>
      <c r="N28" s="10" t="s">
        <v>356</v>
      </c>
      <c r="O28" s="10" t="s">
        <v>185</v>
      </c>
      <c r="P28" s="10" t="s">
        <v>385</v>
      </c>
      <c r="Q28" s="10" t="s">
        <v>47</v>
      </c>
      <c r="R28" s="10">
        <v>21380408</v>
      </c>
      <c r="S28" s="10" t="s">
        <v>52</v>
      </c>
      <c r="T28" s="79">
        <v>1</v>
      </c>
      <c r="U28"/>
    </row>
    <row r="29" spans="1:21" ht="15.6" x14ac:dyDescent="0.3">
      <c r="A29" s="6" t="s">
        <v>1</v>
      </c>
      <c r="B29" s="6" t="s">
        <v>197</v>
      </c>
      <c r="C29" s="6" t="str">
        <f t="shared" si="0"/>
        <v>PE220002057</v>
      </c>
      <c r="D29" s="6" t="s">
        <v>133</v>
      </c>
      <c r="E29" s="6" t="s">
        <v>156</v>
      </c>
      <c r="F29" s="6" t="s">
        <v>173</v>
      </c>
      <c r="G29" s="6" t="s">
        <v>170</v>
      </c>
      <c r="H29" s="8" t="s">
        <v>269</v>
      </c>
      <c r="I29" s="12" t="s">
        <v>246</v>
      </c>
      <c r="M29" s="77" t="s">
        <v>270</v>
      </c>
      <c r="N29" s="10" t="s">
        <v>356</v>
      </c>
      <c r="O29" s="10" t="s">
        <v>185</v>
      </c>
      <c r="P29" s="10" t="s">
        <v>376</v>
      </c>
      <c r="Q29" s="10" t="s">
        <v>1</v>
      </c>
      <c r="R29" s="10">
        <v>20002050</v>
      </c>
      <c r="S29" s="10" t="s">
        <v>136</v>
      </c>
      <c r="T29" s="79">
        <v>1</v>
      </c>
      <c r="U29"/>
    </row>
    <row r="30" spans="1:21" ht="15.6" x14ac:dyDescent="0.3">
      <c r="A30" s="6" t="s">
        <v>1</v>
      </c>
      <c r="B30" s="6" t="s">
        <v>198</v>
      </c>
      <c r="C30" s="6" t="str">
        <f t="shared" si="0"/>
        <v>PE220002059</v>
      </c>
      <c r="D30" s="6" t="s">
        <v>134</v>
      </c>
      <c r="E30" s="6" t="s">
        <v>156</v>
      </c>
      <c r="F30" s="6" t="s">
        <v>173</v>
      </c>
      <c r="G30" s="6" t="s">
        <v>170</v>
      </c>
      <c r="H30" s="8" t="s">
        <v>269</v>
      </c>
      <c r="I30" s="12" t="s">
        <v>247</v>
      </c>
      <c r="M30" s="77" t="s">
        <v>270</v>
      </c>
      <c r="N30" s="10" t="s">
        <v>357</v>
      </c>
      <c r="O30" s="10" t="s">
        <v>187</v>
      </c>
      <c r="P30" s="10" t="s">
        <v>372</v>
      </c>
      <c r="Q30" s="10" t="s">
        <v>47</v>
      </c>
      <c r="R30" s="10">
        <v>21707133</v>
      </c>
      <c r="S30" s="10" t="s">
        <v>48</v>
      </c>
      <c r="T30" s="79">
        <v>1</v>
      </c>
      <c r="U30"/>
    </row>
    <row r="31" spans="1:21" ht="15.6" x14ac:dyDescent="0.3">
      <c r="A31" s="6" t="s">
        <v>1</v>
      </c>
      <c r="B31" s="6" t="s">
        <v>199</v>
      </c>
      <c r="C31" s="6" t="str">
        <f t="shared" si="0"/>
        <v>PE220002061</v>
      </c>
      <c r="D31" s="6" t="s">
        <v>135</v>
      </c>
      <c r="E31" s="6" t="s">
        <v>156</v>
      </c>
      <c r="F31" s="6" t="s">
        <v>173</v>
      </c>
      <c r="G31" s="6" t="s">
        <v>170</v>
      </c>
      <c r="H31" s="8" t="s">
        <v>269</v>
      </c>
      <c r="I31" s="12" t="s">
        <v>248</v>
      </c>
      <c r="M31" s="77" t="s">
        <v>270</v>
      </c>
      <c r="N31" s="10" t="s">
        <v>357</v>
      </c>
      <c r="O31" s="10" t="s">
        <v>187</v>
      </c>
      <c r="P31" s="10" t="s">
        <v>386</v>
      </c>
      <c r="Q31" s="10" t="s">
        <v>47</v>
      </c>
      <c r="R31" s="10">
        <v>22095097</v>
      </c>
      <c r="S31" s="10" t="s">
        <v>52</v>
      </c>
      <c r="T31" s="79">
        <v>1</v>
      </c>
      <c r="U31"/>
    </row>
    <row r="32" spans="1:21" ht="15.6" x14ac:dyDescent="0.3">
      <c r="A32" s="6" t="s">
        <v>1</v>
      </c>
      <c r="B32" s="6" t="s">
        <v>200</v>
      </c>
      <c r="C32" s="6" t="str">
        <f t="shared" si="0"/>
        <v>PE220002063</v>
      </c>
      <c r="D32" s="6" t="s">
        <v>93</v>
      </c>
      <c r="E32" s="6" t="s">
        <v>156</v>
      </c>
      <c r="F32" s="6" t="s">
        <v>173</v>
      </c>
      <c r="G32" s="6" t="s">
        <v>160</v>
      </c>
      <c r="H32" s="8" t="s">
        <v>269</v>
      </c>
      <c r="I32" s="12" t="s">
        <v>249</v>
      </c>
      <c r="M32" s="77" t="s">
        <v>270</v>
      </c>
      <c r="N32" s="10" t="s">
        <v>357</v>
      </c>
      <c r="O32" s="10" t="s">
        <v>187</v>
      </c>
      <c r="P32" s="10" t="s">
        <v>387</v>
      </c>
      <c r="Q32" s="10" t="s">
        <v>47</v>
      </c>
      <c r="R32" s="10">
        <v>22752360</v>
      </c>
      <c r="S32" s="10" t="s">
        <v>347</v>
      </c>
      <c r="T32" s="79">
        <v>1</v>
      </c>
      <c r="U32"/>
    </row>
    <row r="33" spans="1:21" ht="15.6" x14ac:dyDescent="0.3">
      <c r="A33" s="6" t="s">
        <v>1</v>
      </c>
      <c r="B33" s="6" t="s">
        <v>201</v>
      </c>
      <c r="C33" s="6" t="str">
        <f t="shared" si="0"/>
        <v>PE220002065</v>
      </c>
      <c r="D33" s="6" t="s">
        <v>109</v>
      </c>
      <c r="E33" s="6" t="s">
        <v>156</v>
      </c>
      <c r="F33" s="6" t="s">
        <v>173</v>
      </c>
      <c r="G33" s="6" t="s">
        <v>160</v>
      </c>
      <c r="H33" s="8" t="s">
        <v>269</v>
      </c>
      <c r="I33" s="12" t="s">
        <v>250</v>
      </c>
      <c r="M33" s="77" t="s">
        <v>270</v>
      </c>
      <c r="N33" s="10" t="s">
        <v>357</v>
      </c>
      <c r="O33" s="10" t="s">
        <v>187</v>
      </c>
      <c r="P33" s="10" t="s">
        <v>376</v>
      </c>
      <c r="Q33" s="10" t="s">
        <v>1</v>
      </c>
      <c r="R33" s="10">
        <v>20002050</v>
      </c>
      <c r="S33" s="10" t="s">
        <v>136</v>
      </c>
      <c r="T33" s="79">
        <v>1</v>
      </c>
      <c r="U33"/>
    </row>
    <row r="34" spans="1:21" ht="15.6" x14ac:dyDescent="0.3">
      <c r="A34" s="6" t="s">
        <v>1</v>
      </c>
      <c r="B34" s="6" t="s">
        <v>202</v>
      </c>
      <c r="C34" s="6" t="str">
        <f t="shared" si="0"/>
        <v>PE220002067</v>
      </c>
      <c r="D34" s="6" t="s">
        <v>110</v>
      </c>
      <c r="E34" s="6" t="s">
        <v>156</v>
      </c>
      <c r="F34" s="6" t="s">
        <v>173</v>
      </c>
      <c r="G34" s="6" t="s">
        <v>160</v>
      </c>
      <c r="H34" s="8" t="s">
        <v>269</v>
      </c>
      <c r="I34" s="12" t="s">
        <v>251</v>
      </c>
      <c r="M34" s="77" t="s">
        <v>270</v>
      </c>
      <c r="N34" s="10" t="s">
        <v>358</v>
      </c>
      <c r="O34" s="10" t="s">
        <v>180</v>
      </c>
      <c r="P34" s="10" t="s">
        <v>372</v>
      </c>
      <c r="Q34" s="10" t="s">
        <v>47</v>
      </c>
      <c r="R34" s="10">
        <v>21707133</v>
      </c>
      <c r="S34" s="10" t="s">
        <v>48</v>
      </c>
      <c r="T34" s="79">
        <v>2</v>
      </c>
      <c r="U34"/>
    </row>
    <row r="35" spans="1:21" ht="15.6" x14ac:dyDescent="0.3">
      <c r="A35" s="6" t="s">
        <v>124</v>
      </c>
      <c r="B35" s="6" t="s">
        <v>203</v>
      </c>
      <c r="C35" s="6" t="str">
        <f t="shared" si="0"/>
        <v>PE420004101</v>
      </c>
      <c r="D35" s="6" t="s">
        <v>204</v>
      </c>
      <c r="E35" s="6" t="s">
        <v>156</v>
      </c>
      <c r="F35" s="6" t="s">
        <v>205</v>
      </c>
      <c r="G35" s="6" t="s">
        <v>162</v>
      </c>
      <c r="H35" s="8" t="s">
        <v>276</v>
      </c>
      <c r="I35" s="12" t="s">
        <v>252</v>
      </c>
      <c r="M35" s="77" t="s">
        <v>270</v>
      </c>
      <c r="N35" s="10" t="s">
        <v>358</v>
      </c>
      <c r="O35" s="10" t="s">
        <v>180</v>
      </c>
      <c r="P35" s="10" t="s">
        <v>373</v>
      </c>
      <c r="Q35" s="10" t="s">
        <v>47</v>
      </c>
      <c r="R35" s="10">
        <v>21707132</v>
      </c>
      <c r="S35" s="10" t="s">
        <v>50</v>
      </c>
      <c r="T35" s="79">
        <v>1</v>
      </c>
      <c r="U35"/>
    </row>
    <row r="36" spans="1:21" ht="15.6" x14ac:dyDescent="0.3">
      <c r="A36" s="6" t="s">
        <v>124</v>
      </c>
      <c r="B36" s="6" t="s">
        <v>206</v>
      </c>
      <c r="C36" s="6" t="str">
        <f t="shared" si="0"/>
        <v>PE420004103</v>
      </c>
      <c r="D36" s="6" t="s">
        <v>207</v>
      </c>
      <c r="E36" s="6" t="s">
        <v>156</v>
      </c>
      <c r="F36" s="6" t="s">
        <v>205</v>
      </c>
      <c r="G36" s="6" t="s">
        <v>160</v>
      </c>
      <c r="H36" s="8" t="s">
        <v>276</v>
      </c>
      <c r="I36" s="12" t="s">
        <v>253</v>
      </c>
      <c r="M36" s="77" t="s">
        <v>270</v>
      </c>
      <c r="N36" s="10" t="s">
        <v>358</v>
      </c>
      <c r="O36" s="10" t="s">
        <v>180</v>
      </c>
      <c r="P36" s="10" t="s">
        <v>388</v>
      </c>
      <c r="Q36" s="10" t="s">
        <v>47</v>
      </c>
      <c r="R36" s="10">
        <v>8193841</v>
      </c>
      <c r="S36" s="10" t="s">
        <v>52</v>
      </c>
      <c r="T36" s="79">
        <v>1</v>
      </c>
      <c r="U36"/>
    </row>
    <row r="37" spans="1:21" ht="15.6" x14ac:dyDescent="0.3">
      <c r="A37" s="6" t="s">
        <v>124</v>
      </c>
      <c r="B37" s="6" t="s">
        <v>208</v>
      </c>
      <c r="C37" s="6" t="str">
        <f t="shared" si="0"/>
        <v>PE420004106</v>
      </c>
      <c r="D37" s="6" t="s">
        <v>363</v>
      </c>
      <c r="E37" s="6" t="s">
        <v>156</v>
      </c>
      <c r="F37" s="6" t="s">
        <v>205</v>
      </c>
      <c r="G37" s="6" t="s">
        <v>157</v>
      </c>
      <c r="H37" s="8" t="s">
        <v>276</v>
      </c>
      <c r="I37" s="12" t="s">
        <v>254</v>
      </c>
      <c r="M37" s="77" t="s">
        <v>270</v>
      </c>
      <c r="N37" s="10" t="s">
        <v>358</v>
      </c>
      <c r="O37" s="10" t="s">
        <v>180</v>
      </c>
      <c r="P37" s="10" t="s">
        <v>376</v>
      </c>
      <c r="Q37" s="10" t="s">
        <v>1</v>
      </c>
      <c r="R37" s="10">
        <v>20002050</v>
      </c>
      <c r="S37" s="10" t="s">
        <v>136</v>
      </c>
      <c r="T37" s="79">
        <v>1</v>
      </c>
      <c r="U37"/>
    </row>
    <row r="38" spans="1:21" ht="15.6" x14ac:dyDescent="0.3">
      <c r="A38" s="6" t="s">
        <v>68</v>
      </c>
      <c r="B38" s="6" t="s">
        <v>171</v>
      </c>
      <c r="C38" s="6" t="str">
        <f t="shared" si="0"/>
        <v>PE620001971</v>
      </c>
      <c r="D38" s="6" t="s">
        <v>341</v>
      </c>
      <c r="E38" s="6" t="s">
        <v>145</v>
      </c>
      <c r="F38" s="6" t="s">
        <v>173</v>
      </c>
      <c r="G38" s="6" t="s">
        <v>147</v>
      </c>
      <c r="H38" s="8" t="s">
        <v>271</v>
      </c>
      <c r="I38" s="12" t="s">
        <v>255</v>
      </c>
      <c r="M38" s="77" t="s">
        <v>270</v>
      </c>
      <c r="N38" s="10" t="s">
        <v>359</v>
      </c>
      <c r="O38" s="10" t="s">
        <v>192</v>
      </c>
      <c r="P38" s="10" t="s">
        <v>372</v>
      </c>
      <c r="Q38" s="10" t="s">
        <v>47</v>
      </c>
      <c r="R38" s="10">
        <v>21707133</v>
      </c>
      <c r="S38" s="10" t="s">
        <v>48</v>
      </c>
      <c r="T38" s="79">
        <v>1</v>
      </c>
      <c r="U38"/>
    </row>
    <row r="39" spans="1:21" ht="15.6" x14ac:dyDescent="0.3">
      <c r="A39" s="6" t="s">
        <v>68</v>
      </c>
      <c r="B39" s="6" t="s">
        <v>211</v>
      </c>
      <c r="C39" s="6" t="str">
        <f t="shared" si="0"/>
        <v>PE620006184</v>
      </c>
      <c r="D39" s="6" t="s">
        <v>212</v>
      </c>
      <c r="E39" s="6" t="s">
        <v>156</v>
      </c>
      <c r="F39" s="6" t="s">
        <v>210</v>
      </c>
      <c r="G39" s="6" t="s">
        <v>160</v>
      </c>
      <c r="H39" s="8" t="s">
        <v>272</v>
      </c>
      <c r="I39" s="12" t="s">
        <v>256</v>
      </c>
      <c r="M39" s="77" t="s">
        <v>270</v>
      </c>
      <c r="N39" s="10" t="s">
        <v>359</v>
      </c>
      <c r="O39" s="10" t="s">
        <v>192</v>
      </c>
      <c r="P39" s="10" t="s">
        <v>386</v>
      </c>
      <c r="Q39" s="10" t="s">
        <v>47</v>
      </c>
      <c r="R39" s="10">
        <v>22095097</v>
      </c>
      <c r="S39" s="10" t="s">
        <v>63</v>
      </c>
      <c r="T39" s="79">
        <v>1</v>
      </c>
      <c r="U39"/>
    </row>
    <row r="40" spans="1:21" ht="15.6" x14ac:dyDescent="0.3">
      <c r="A40" s="6" t="s">
        <v>68</v>
      </c>
      <c r="B40" s="6" t="s">
        <v>213</v>
      </c>
      <c r="C40" s="6" t="str">
        <f t="shared" si="0"/>
        <v>PE620006186</v>
      </c>
      <c r="D40" s="6" t="s">
        <v>67</v>
      </c>
      <c r="E40" s="6" t="s">
        <v>156</v>
      </c>
      <c r="F40" s="6" t="s">
        <v>210</v>
      </c>
      <c r="G40" s="6" t="s">
        <v>160</v>
      </c>
      <c r="H40" s="8" t="s">
        <v>272</v>
      </c>
      <c r="I40" s="12" t="s">
        <v>257</v>
      </c>
      <c r="M40" s="77" t="s">
        <v>270</v>
      </c>
      <c r="N40" s="10" t="s">
        <v>359</v>
      </c>
      <c r="O40" s="10" t="s">
        <v>192</v>
      </c>
      <c r="P40" s="10" t="s">
        <v>381</v>
      </c>
      <c r="Q40" s="10" t="s">
        <v>47</v>
      </c>
      <c r="R40" s="10">
        <v>8159975</v>
      </c>
      <c r="S40" s="10" t="s">
        <v>343</v>
      </c>
      <c r="T40" s="79">
        <v>1</v>
      </c>
      <c r="U40"/>
    </row>
    <row r="41" spans="1:21" ht="15.6" x14ac:dyDescent="0.3">
      <c r="A41" s="6" t="s">
        <v>68</v>
      </c>
      <c r="B41" s="6" t="s">
        <v>214</v>
      </c>
      <c r="C41" s="6" t="str">
        <f t="shared" si="0"/>
        <v>PE620006188</v>
      </c>
      <c r="D41" s="6" t="s">
        <v>215</v>
      </c>
      <c r="E41" s="6" t="s">
        <v>156</v>
      </c>
      <c r="F41" s="6" t="s">
        <v>210</v>
      </c>
      <c r="G41" s="6" t="s">
        <v>170</v>
      </c>
      <c r="H41" s="8" t="s">
        <v>272</v>
      </c>
      <c r="I41" s="12" t="s">
        <v>258</v>
      </c>
      <c r="M41" s="77" t="s">
        <v>270</v>
      </c>
      <c r="N41" s="10" t="s">
        <v>359</v>
      </c>
      <c r="O41" s="10" t="s">
        <v>192</v>
      </c>
      <c r="P41" s="10" t="s">
        <v>376</v>
      </c>
      <c r="Q41" s="10" t="s">
        <v>1</v>
      </c>
      <c r="R41" s="10">
        <v>20002050</v>
      </c>
      <c r="S41" s="10" t="s">
        <v>136</v>
      </c>
      <c r="T41" s="79">
        <v>1</v>
      </c>
      <c r="U41"/>
    </row>
    <row r="42" spans="1:21" ht="15.6" x14ac:dyDescent="0.3">
      <c r="A42" s="7" t="s">
        <v>118</v>
      </c>
      <c r="B42" s="7" t="s">
        <v>216</v>
      </c>
      <c r="C42" s="7" t="str">
        <f t="shared" si="0"/>
        <v>PE720007101</v>
      </c>
      <c r="D42" s="7" t="s">
        <v>217</v>
      </c>
      <c r="E42" s="7" t="s">
        <v>145</v>
      </c>
      <c r="F42" s="7" t="s">
        <v>218</v>
      </c>
      <c r="G42" s="7" t="s">
        <v>147</v>
      </c>
      <c r="H42" s="9" t="s">
        <v>275</v>
      </c>
      <c r="I42" s="14" t="s">
        <v>259</v>
      </c>
      <c r="M42" s="77" t="s">
        <v>269</v>
      </c>
      <c r="N42" s="10" t="s">
        <v>288</v>
      </c>
      <c r="O42" s="10" t="s">
        <v>182</v>
      </c>
      <c r="P42" s="10" t="s">
        <v>379</v>
      </c>
      <c r="Q42" s="10" t="s">
        <v>47</v>
      </c>
      <c r="R42" s="10">
        <v>21707134</v>
      </c>
      <c r="S42" s="10" t="s">
        <v>60</v>
      </c>
      <c r="T42" s="79">
        <v>1</v>
      </c>
      <c r="U42"/>
    </row>
    <row r="43" spans="1:21" ht="15.6" x14ac:dyDescent="0.3">
      <c r="M43" s="77" t="s">
        <v>269</v>
      </c>
      <c r="N43" s="10" t="s">
        <v>288</v>
      </c>
      <c r="O43" s="10" t="s">
        <v>182</v>
      </c>
      <c r="P43" s="10" t="s">
        <v>381</v>
      </c>
      <c r="Q43" s="10" t="s">
        <v>47</v>
      </c>
      <c r="R43" s="10">
        <v>8159975</v>
      </c>
      <c r="S43" s="10" t="s">
        <v>343</v>
      </c>
      <c r="T43" s="79">
        <v>1</v>
      </c>
      <c r="U43"/>
    </row>
    <row r="44" spans="1:21" ht="15.6" x14ac:dyDescent="0.3">
      <c r="M44" s="77" t="s">
        <v>269</v>
      </c>
      <c r="N44" s="10" t="s">
        <v>288</v>
      </c>
      <c r="O44" s="10" t="s">
        <v>182</v>
      </c>
      <c r="P44" s="10" t="s">
        <v>380</v>
      </c>
      <c r="Q44" s="10" t="s">
        <v>47</v>
      </c>
      <c r="R44" s="10">
        <v>20841523</v>
      </c>
      <c r="S44" s="10" t="s">
        <v>52</v>
      </c>
      <c r="T44" s="79">
        <v>1</v>
      </c>
      <c r="U44"/>
    </row>
    <row r="45" spans="1:21" ht="15.6" x14ac:dyDescent="0.3">
      <c r="M45" s="77" t="s">
        <v>269</v>
      </c>
      <c r="N45" s="10" t="s">
        <v>288</v>
      </c>
      <c r="O45" s="10" t="s">
        <v>182</v>
      </c>
      <c r="P45" s="10" t="s">
        <v>376</v>
      </c>
      <c r="Q45" s="10" t="s">
        <v>1</v>
      </c>
      <c r="R45" s="10">
        <v>20002050</v>
      </c>
      <c r="S45" s="10" t="s">
        <v>136</v>
      </c>
      <c r="T45" s="79">
        <v>1</v>
      </c>
      <c r="U45"/>
    </row>
    <row r="46" spans="1:21" ht="15.6" x14ac:dyDescent="0.3">
      <c r="M46" s="77" t="s">
        <v>269</v>
      </c>
      <c r="N46" s="10" t="s">
        <v>288</v>
      </c>
      <c r="O46" s="10" t="s">
        <v>182</v>
      </c>
      <c r="P46" s="10" t="s">
        <v>389</v>
      </c>
      <c r="Q46" s="74" t="s">
        <v>47</v>
      </c>
      <c r="R46" s="74">
        <v>23068343</v>
      </c>
      <c r="S46" s="10" t="s">
        <v>344</v>
      </c>
      <c r="T46" s="79">
        <v>2</v>
      </c>
      <c r="U46"/>
    </row>
    <row r="47" spans="1:21" ht="15.6" x14ac:dyDescent="0.3">
      <c r="A47" s="17"/>
      <c r="M47" s="77" t="s">
        <v>269</v>
      </c>
      <c r="N47" s="10" t="s">
        <v>288</v>
      </c>
      <c r="O47" s="10" t="s">
        <v>182</v>
      </c>
      <c r="P47" s="10" t="s">
        <v>390</v>
      </c>
      <c r="Q47" s="74" t="s">
        <v>47</v>
      </c>
      <c r="R47" s="74">
        <v>23068344</v>
      </c>
      <c r="S47" s="10" t="s">
        <v>59</v>
      </c>
      <c r="T47" s="79">
        <v>19</v>
      </c>
      <c r="U47"/>
    </row>
    <row r="48" spans="1:21" ht="15.6" x14ac:dyDescent="0.3">
      <c r="A48" s="17"/>
      <c r="M48" s="77" t="s">
        <v>269</v>
      </c>
      <c r="N48" s="10" t="s">
        <v>289</v>
      </c>
      <c r="O48" s="10" t="s">
        <v>190</v>
      </c>
      <c r="P48" s="10" t="s">
        <v>383</v>
      </c>
      <c r="Q48" s="10" t="s">
        <v>47</v>
      </c>
      <c r="R48" s="10">
        <v>20998807</v>
      </c>
      <c r="S48" s="10" t="s">
        <v>345</v>
      </c>
      <c r="T48" s="79">
        <v>1</v>
      </c>
      <c r="U48"/>
    </row>
    <row r="49" spans="1:21" ht="15.6" x14ac:dyDescent="0.3">
      <c r="A49" s="17"/>
      <c r="M49" s="77" t="s">
        <v>269</v>
      </c>
      <c r="N49" s="10" t="s">
        <v>289</v>
      </c>
      <c r="O49" s="10" t="s">
        <v>190</v>
      </c>
      <c r="P49" s="10" t="s">
        <v>384</v>
      </c>
      <c r="Q49" s="10" t="s">
        <v>47</v>
      </c>
      <c r="R49" s="10">
        <v>20998805</v>
      </c>
      <c r="S49" s="10" t="s">
        <v>346</v>
      </c>
      <c r="T49" s="79">
        <v>1</v>
      </c>
      <c r="U49"/>
    </row>
    <row r="50" spans="1:21" ht="15.6" x14ac:dyDescent="0.3">
      <c r="A50" s="17"/>
      <c r="M50" s="77" t="s">
        <v>269</v>
      </c>
      <c r="N50" s="10" t="s">
        <v>289</v>
      </c>
      <c r="O50" s="10" t="s">
        <v>190</v>
      </c>
      <c r="P50" s="10" t="s">
        <v>385</v>
      </c>
      <c r="Q50" s="10" t="s">
        <v>47</v>
      </c>
      <c r="R50" s="10">
        <v>21380408</v>
      </c>
      <c r="S50" s="10" t="s">
        <v>349</v>
      </c>
      <c r="T50" s="79">
        <v>1</v>
      </c>
      <c r="U50"/>
    </row>
    <row r="51" spans="1:21" ht="15.6" x14ac:dyDescent="0.3">
      <c r="A51" s="17"/>
      <c r="M51" s="77" t="s">
        <v>269</v>
      </c>
      <c r="N51" s="10" t="s">
        <v>289</v>
      </c>
      <c r="O51" s="10" t="s">
        <v>190</v>
      </c>
      <c r="P51" s="10" t="s">
        <v>376</v>
      </c>
      <c r="Q51" s="10" t="s">
        <v>1</v>
      </c>
      <c r="R51" s="10">
        <v>20002050</v>
      </c>
      <c r="S51" s="10" t="s">
        <v>136</v>
      </c>
      <c r="T51" s="79">
        <v>1</v>
      </c>
      <c r="U51"/>
    </row>
    <row r="52" spans="1:21" ht="15.6" x14ac:dyDescent="0.3">
      <c r="A52" s="17"/>
      <c r="M52" s="77" t="s">
        <v>269</v>
      </c>
      <c r="N52" s="10" t="s">
        <v>289</v>
      </c>
      <c r="O52" s="10" t="s">
        <v>190</v>
      </c>
      <c r="P52" s="10" t="s">
        <v>389</v>
      </c>
      <c r="Q52" s="74" t="s">
        <v>47</v>
      </c>
      <c r="R52" s="74">
        <v>23068343</v>
      </c>
      <c r="S52" s="10" t="s">
        <v>344</v>
      </c>
      <c r="T52" s="79">
        <v>2</v>
      </c>
      <c r="U52"/>
    </row>
    <row r="53" spans="1:21" ht="15.6" x14ac:dyDescent="0.3">
      <c r="M53" s="77" t="s">
        <v>269</v>
      </c>
      <c r="N53" s="10" t="s">
        <v>289</v>
      </c>
      <c r="O53" s="10" t="s">
        <v>190</v>
      </c>
      <c r="P53" s="10" t="s">
        <v>390</v>
      </c>
      <c r="Q53" s="74" t="s">
        <v>47</v>
      </c>
      <c r="R53" s="74">
        <v>23068344</v>
      </c>
      <c r="S53" s="10" t="s">
        <v>59</v>
      </c>
      <c r="T53" s="79">
        <v>19</v>
      </c>
      <c r="U53"/>
    </row>
    <row r="54" spans="1:21" ht="15.6" x14ac:dyDescent="0.3">
      <c r="M54" s="77" t="s">
        <v>269</v>
      </c>
      <c r="N54" s="10" t="s">
        <v>281</v>
      </c>
      <c r="O54" s="10" t="s">
        <v>108</v>
      </c>
      <c r="P54" s="10" t="s">
        <v>372</v>
      </c>
      <c r="Q54" s="10" t="s">
        <v>47</v>
      </c>
      <c r="R54" s="10">
        <v>21707133</v>
      </c>
      <c r="S54" s="10" t="s">
        <v>48</v>
      </c>
      <c r="T54" s="79">
        <v>2</v>
      </c>
      <c r="U54"/>
    </row>
    <row r="55" spans="1:21" ht="15.6" x14ac:dyDescent="0.3">
      <c r="M55" s="77" t="s">
        <v>269</v>
      </c>
      <c r="N55" s="10" t="s">
        <v>281</v>
      </c>
      <c r="O55" s="10" t="s">
        <v>108</v>
      </c>
      <c r="P55" s="10" t="s">
        <v>373</v>
      </c>
      <c r="Q55" s="10" t="s">
        <v>47</v>
      </c>
      <c r="R55" s="10">
        <v>21707132</v>
      </c>
      <c r="S55" s="10" t="s">
        <v>50</v>
      </c>
      <c r="T55" s="79">
        <v>1</v>
      </c>
      <c r="U55"/>
    </row>
    <row r="56" spans="1:21" ht="15.6" x14ac:dyDescent="0.3">
      <c r="M56" s="77" t="s">
        <v>269</v>
      </c>
      <c r="N56" s="10" t="s">
        <v>281</v>
      </c>
      <c r="O56" s="10" t="s">
        <v>108</v>
      </c>
      <c r="P56" s="10" t="s">
        <v>374</v>
      </c>
      <c r="Q56" s="10" t="s">
        <v>47</v>
      </c>
      <c r="R56" s="10">
        <v>22480372</v>
      </c>
      <c r="S56" s="10" t="s">
        <v>52</v>
      </c>
      <c r="T56" s="79">
        <v>1</v>
      </c>
      <c r="U56"/>
    </row>
    <row r="57" spans="1:21" ht="15.6" x14ac:dyDescent="0.3">
      <c r="M57" s="77" t="s">
        <v>269</v>
      </c>
      <c r="N57" s="10" t="s">
        <v>281</v>
      </c>
      <c r="O57" s="10" t="s">
        <v>108</v>
      </c>
      <c r="P57" s="10" t="s">
        <v>375</v>
      </c>
      <c r="Q57" s="10" t="s">
        <v>47</v>
      </c>
      <c r="R57" s="10">
        <v>21380488</v>
      </c>
      <c r="S57" s="10" t="s">
        <v>52</v>
      </c>
      <c r="T57" s="79">
        <v>1</v>
      </c>
      <c r="U57"/>
    </row>
    <row r="58" spans="1:21" ht="15.6" x14ac:dyDescent="0.3">
      <c r="M58" s="77" t="s">
        <v>269</v>
      </c>
      <c r="N58" s="10" t="s">
        <v>281</v>
      </c>
      <c r="O58" s="10" t="s">
        <v>108</v>
      </c>
      <c r="P58" s="10" t="s">
        <v>376</v>
      </c>
      <c r="Q58" s="10" t="s">
        <v>1</v>
      </c>
      <c r="R58" s="10">
        <v>20002050</v>
      </c>
      <c r="S58" s="10" t="s">
        <v>136</v>
      </c>
      <c r="T58" s="79">
        <v>1</v>
      </c>
      <c r="U58"/>
    </row>
    <row r="59" spans="1:21" ht="15.6" x14ac:dyDescent="0.3">
      <c r="M59" s="77" t="s">
        <v>269</v>
      </c>
      <c r="N59" s="10" t="s">
        <v>281</v>
      </c>
      <c r="O59" s="10" t="s">
        <v>108</v>
      </c>
      <c r="P59" s="10" t="s">
        <v>390</v>
      </c>
      <c r="Q59" s="74" t="s">
        <v>47</v>
      </c>
      <c r="R59" s="74">
        <v>23068344</v>
      </c>
      <c r="S59" s="10" t="s">
        <v>59</v>
      </c>
      <c r="T59" s="79">
        <v>38</v>
      </c>
      <c r="U59"/>
    </row>
    <row r="60" spans="1:21" ht="15.6" x14ac:dyDescent="0.3">
      <c r="M60" s="77" t="s">
        <v>269</v>
      </c>
      <c r="N60" s="10" t="s">
        <v>284</v>
      </c>
      <c r="O60" s="10" t="s">
        <v>132</v>
      </c>
      <c r="P60" s="10" t="s">
        <v>372</v>
      </c>
      <c r="Q60" s="10" t="s">
        <v>47</v>
      </c>
      <c r="R60" s="10">
        <v>21707133</v>
      </c>
      <c r="S60" s="10" t="s">
        <v>48</v>
      </c>
      <c r="T60" s="79">
        <v>10</v>
      </c>
      <c r="U60"/>
    </row>
    <row r="61" spans="1:21" ht="15.6" x14ac:dyDescent="0.3">
      <c r="M61" s="77" t="s">
        <v>269</v>
      </c>
      <c r="N61" s="10" t="s">
        <v>284</v>
      </c>
      <c r="O61" s="10" t="s">
        <v>132</v>
      </c>
      <c r="P61" s="10" t="s">
        <v>373</v>
      </c>
      <c r="Q61" s="10" t="s">
        <v>47</v>
      </c>
      <c r="R61" s="10">
        <v>21707132</v>
      </c>
      <c r="S61" s="10" t="s">
        <v>50</v>
      </c>
      <c r="T61" s="79">
        <v>5</v>
      </c>
      <c r="U61"/>
    </row>
    <row r="62" spans="1:21" ht="15.6" x14ac:dyDescent="0.3">
      <c r="M62" s="77" t="s">
        <v>269</v>
      </c>
      <c r="N62" s="10" t="s">
        <v>284</v>
      </c>
      <c r="O62" s="10" t="s">
        <v>132</v>
      </c>
      <c r="P62" s="10" t="s">
        <v>374</v>
      </c>
      <c r="Q62" s="10" t="s">
        <v>47</v>
      </c>
      <c r="R62" s="10">
        <v>22480372</v>
      </c>
      <c r="S62" s="10" t="s">
        <v>52</v>
      </c>
      <c r="T62" s="79">
        <v>5</v>
      </c>
      <c r="U62"/>
    </row>
    <row r="63" spans="1:21" ht="15.6" x14ac:dyDescent="0.3">
      <c r="M63" s="77" t="s">
        <v>269</v>
      </c>
      <c r="N63" s="10" t="s">
        <v>284</v>
      </c>
      <c r="O63" s="10" t="s">
        <v>132</v>
      </c>
      <c r="P63" s="10" t="s">
        <v>375</v>
      </c>
      <c r="Q63" s="10" t="s">
        <v>47</v>
      </c>
      <c r="R63" s="10">
        <v>21380488</v>
      </c>
      <c r="S63" s="10" t="s">
        <v>52</v>
      </c>
      <c r="T63" s="79">
        <v>5</v>
      </c>
      <c r="U63"/>
    </row>
    <row r="64" spans="1:21" ht="15.6" x14ac:dyDescent="0.3">
      <c r="M64" s="77" t="s">
        <v>269</v>
      </c>
      <c r="N64" s="10" t="s">
        <v>284</v>
      </c>
      <c r="O64" s="10" t="s">
        <v>132</v>
      </c>
      <c r="P64" s="10" t="s">
        <v>376</v>
      </c>
      <c r="Q64" s="10" t="s">
        <v>1</v>
      </c>
      <c r="R64" s="10">
        <v>20002050</v>
      </c>
      <c r="S64" s="10" t="s">
        <v>136</v>
      </c>
      <c r="T64" s="79">
        <v>5</v>
      </c>
      <c r="U64"/>
    </row>
    <row r="65" spans="13:21" ht="15.6" x14ac:dyDescent="0.3">
      <c r="M65" s="77" t="s">
        <v>269</v>
      </c>
      <c r="N65" s="10" t="s">
        <v>284</v>
      </c>
      <c r="O65" s="10" t="s">
        <v>132</v>
      </c>
      <c r="P65" s="10" t="s">
        <v>391</v>
      </c>
      <c r="Q65" s="74" t="s">
        <v>47</v>
      </c>
      <c r="R65" s="74">
        <v>23068345</v>
      </c>
      <c r="S65" s="10" t="s">
        <v>62</v>
      </c>
      <c r="T65" s="79">
        <v>208</v>
      </c>
      <c r="U65"/>
    </row>
    <row r="66" spans="13:21" ht="15.6" x14ac:dyDescent="0.3">
      <c r="M66" s="77" t="s">
        <v>269</v>
      </c>
      <c r="N66" s="10" t="s">
        <v>282</v>
      </c>
      <c r="O66" s="10" t="s">
        <v>196</v>
      </c>
      <c r="P66" s="10" t="s">
        <v>372</v>
      </c>
      <c r="Q66" s="10" t="s">
        <v>47</v>
      </c>
      <c r="R66" s="10">
        <v>21707133</v>
      </c>
      <c r="S66" s="10" t="s">
        <v>48</v>
      </c>
      <c r="T66" s="79">
        <v>2</v>
      </c>
      <c r="U66"/>
    </row>
    <row r="67" spans="13:21" ht="15.6" x14ac:dyDescent="0.3">
      <c r="M67" s="77" t="s">
        <v>269</v>
      </c>
      <c r="N67" s="10" t="s">
        <v>282</v>
      </c>
      <c r="O67" s="10" t="s">
        <v>196</v>
      </c>
      <c r="P67" s="10" t="s">
        <v>373</v>
      </c>
      <c r="Q67" s="10" t="s">
        <v>47</v>
      </c>
      <c r="R67" s="10">
        <v>21707132</v>
      </c>
      <c r="S67" s="10" t="s">
        <v>50</v>
      </c>
      <c r="T67" s="79">
        <v>1</v>
      </c>
      <c r="U67"/>
    </row>
    <row r="68" spans="13:21" ht="15.6" x14ac:dyDescent="0.3">
      <c r="M68" s="77" t="s">
        <v>269</v>
      </c>
      <c r="N68" s="10" t="s">
        <v>282</v>
      </c>
      <c r="O68" s="10" t="s">
        <v>196</v>
      </c>
      <c r="P68" s="10" t="s">
        <v>374</v>
      </c>
      <c r="Q68" s="10" t="s">
        <v>47</v>
      </c>
      <c r="R68" s="10">
        <v>22480372</v>
      </c>
      <c r="S68" s="10" t="s">
        <v>52</v>
      </c>
      <c r="T68" s="79">
        <v>1</v>
      </c>
      <c r="U68"/>
    </row>
    <row r="69" spans="13:21" ht="15.6" x14ac:dyDescent="0.3">
      <c r="M69" s="77" t="s">
        <v>269</v>
      </c>
      <c r="N69" s="10" t="s">
        <v>282</v>
      </c>
      <c r="O69" s="10" t="s">
        <v>196</v>
      </c>
      <c r="P69" s="10" t="s">
        <v>377</v>
      </c>
      <c r="Q69" s="10" t="s">
        <v>47</v>
      </c>
      <c r="R69" s="10">
        <v>21380475</v>
      </c>
      <c r="S69" s="10" t="s">
        <v>52</v>
      </c>
      <c r="T69" s="79">
        <v>1</v>
      </c>
      <c r="U69"/>
    </row>
    <row r="70" spans="13:21" ht="15.6" x14ac:dyDescent="0.3">
      <c r="M70" s="77" t="s">
        <v>269</v>
      </c>
      <c r="N70" s="10" t="s">
        <v>282</v>
      </c>
      <c r="O70" s="10" t="s">
        <v>196</v>
      </c>
      <c r="P70" s="10" t="s">
        <v>376</v>
      </c>
      <c r="Q70" s="10" t="s">
        <v>1</v>
      </c>
      <c r="R70" s="10">
        <v>20002050</v>
      </c>
      <c r="S70" s="10" t="s">
        <v>136</v>
      </c>
      <c r="T70" s="79">
        <v>1</v>
      </c>
      <c r="U70"/>
    </row>
    <row r="71" spans="13:21" ht="15.6" x14ac:dyDescent="0.3">
      <c r="M71" s="77" t="s">
        <v>269</v>
      </c>
      <c r="N71" s="10" t="s">
        <v>282</v>
      </c>
      <c r="O71" s="10" t="s">
        <v>196</v>
      </c>
      <c r="P71" s="10" t="s">
        <v>390</v>
      </c>
      <c r="Q71" s="74" t="s">
        <v>47</v>
      </c>
      <c r="R71" s="74">
        <v>23068344</v>
      </c>
      <c r="S71" s="10" t="s">
        <v>59</v>
      </c>
      <c r="T71" s="79">
        <v>38</v>
      </c>
      <c r="U71"/>
    </row>
    <row r="72" spans="13:21" ht="15.6" x14ac:dyDescent="0.3">
      <c r="M72" s="77" t="s">
        <v>269</v>
      </c>
      <c r="N72" s="10" t="s">
        <v>299</v>
      </c>
      <c r="O72" s="10" t="s">
        <v>133</v>
      </c>
      <c r="P72" s="10" t="s">
        <v>372</v>
      </c>
      <c r="Q72" s="10" t="s">
        <v>47</v>
      </c>
      <c r="R72" s="10">
        <v>21707133</v>
      </c>
      <c r="S72" s="10" t="s">
        <v>48</v>
      </c>
      <c r="T72" s="79">
        <v>10</v>
      </c>
      <c r="U72"/>
    </row>
    <row r="73" spans="13:21" ht="15.6" x14ac:dyDescent="0.3">
      <c r="M73" s="77" t="s">
        <v>269</v>
      </c>
      <c r="N73" s="10" t="s">
        <v>299</v>
      </c>
      <c r="O73" s="10" t="s">
        <v>133</v>
      </c>
      <c r="P73" s="10" t="s">
        <v>373</v>
      </c>
      <c r="Q73" s="10" t="s">
        <v>47</v>
      </c>
      <c r="R73" s="10">
        <v>21707132</v>
      </c>
      <c r="S73" s="10" t="s">
        <v>50</v>
      </c>
      <c r="T73" s="79">
        <v>5</v>
      </c>
      <c r="U73"/>
    </row>
    <row r="74" spans="13:21" ht="15.6" x14ac:dyDescent="0.3">
      <c r="M74" s="77" t="s">
        <v>269</v>
      </c>
      <c r="N74" s="10" t="s">
        <v>299</v>
      </c>
      <c r="O74" s="10" t="s">
        <v>133</v>
      </c>
      <c r="P74" s="10" t="s">
        <v>374</v>
      </c>
      <c r="Q74" s="10" t="s">
        <v>47</v>
      </c>
      <c r="R74" s="10">
        <v>22480372</v>
      </c>
      <c r="S74" s="10" t="s">
        <v>52</v>
      </c>
      <c r="T74" s="79">
        <v>5</v>
      </c>
      <c r="U74"/>
    </row>
    <row r="75" spans="13:21" x14ac:dyDescent="0.25">
      <c r="M75" s="77" t="s">
        <v>269</v>
      </c>
      <c r="N75" s="10" t="s">
        <v>299</v>
      </c>
      <c r="O75" s="10" t="s">
        <v>133</v>
      </c>
      <c r="P75" s="10" t="s">
        <v>377</v>
      </c>
      <c r="Q75" s="10" t="s">
        <v>47</v>
      </c>
      <c r="R75" s="10">
        <v>21380475</v>
      </c>
      <c r="S75" s="10" t="s">
        <v>52</v>
      </c>
      <c r="T75" s="79">
        <v>5</v>
      </c>
    </row>
    <row r="76" spans="13:21" x14ac:dyDescent="0.25">
      <c r="M76" s="77" t="s">
        <v>269</v>
      </c>
      <c r="N76" s="10" t="s">
        <v>299</v>
      </c>
      <c r="O76" s="10" t="s">
        <v>133</v>
      </c>
      <c r="P76" s="10" t="s">
        <v>376</v>
      </c>
      <c r="Q76" s="10" t="s">
        <v>1</v>
      </c>
      <c r="R76" s="10">
        <v>20002050</v>
      </c>
      <c r="S76" s="10" t="s">
        <v>136</v>
      </c>
      <c r="T76" s="79">
        <v>5</v>
      </c>
    </row>
    <row r="77" spans="13:21" x14ac:dyDescent="0.25">
      <c r="M77" s="77" t="s">
        <v>269</v>
      </c>
      <c r="N77" s="10" t="s">
        <v>299</v>
      </c>
      <c r="O77" s="10" t="s">
        <v>133</v>
      </c>
      <c r="P77" s="10" t="s">
        <v>391</v>
      </c>
      <c r="Q77" s="74" t="s">
        <v>47</v>
      </c>
      <c r="R77" s="74">
        <v>23068345</v>
      </c>
      <c r="S77" s="10" t="s">
        <v>62</v>
      </c>
      <c r="T77" s="79">
        <v>208</v>
      </c>
    </row>
    <row r="78" spans="13:21" x14ac:dyDescent="0.25">
      <c r="M78" s="77" t="s">
        <v>269</v>
      </c>
      <c r="N78" s="10" t="s">
        <v>290</v>
      </c>
      <c r="O78" s="10" t="s">
        <v>134</v>
      </c>
      <c r="P78" s="10" t="s">
        <v>372</v>
      </c>
      <c r="Q78" s="10" t="s">
        <v>47</v>
      </c>
      <c r="R78" s="10">
        <v>21707133</v>
      </c>
      <c r="S78" s="10" t="s">
        <v>48</v>
      </c>
      <c r="T78" s="79">
        <v>10</v>
      </c>
    </row>
    <row r="79" spans="13:21" x14ac:dyDescent="0.25">
      <c r="M79" s="77" t="s">
        <v>269</v>
      </c>
      <c r="N79" s="10" t="s">
        <v>290</v>
      </c>
      <c r="O79" s="10" t="s">
        <v>134</v>
      </c>
      <c r="P79" s="10" t="s">
        <v>373</v>
      </c>
      <c r="Q79" s="10" t="s">
        <v>47</v>
      </c>
      <c r="R79" s="10">
        <v>21707132</v>
      </c>
      <c r="S79" s="10" t="s">
        <v>50</v>
      </c>
      <c r="T79" s="79">
        <v>5</v>
      </c>
    </row>
    <row r="80" spans="13:21" x14ac:dyDescent="0.25">
      <c r="M80" s="77" t="s">
        <v>269</v>
      </c>
      <c r="N80" s="10" t="s">
        <v>290</v>
      </c>
      <c r="O80" s="10" t="s">
        <v>134</v>
      </c>
      <c r="P80" s="10" t="s">
        <v>378</v>
      </c>
      <c r="Q80" s="10" t="s">
        <v>47</v>
      </c>
      <c r="R80" s="10">
        <v>21632237</v>
      </c>
      <c r="S80" s="10" t="s">
        <v>63</v>
      </c>
      <c r="T80" s="79">
        <v>5</v>
      </c>
    </row>
    <row r="81" spans="13:20" x14ac:dyDescent="0.25">
      <c r="M81" s="77" t="s">
        <v>269</v>
      </c>
      <c r="N81" s="10" t="s">
        <v>290</v>
      </c>
      <c r="O81" s="10" t="s">
        <v>134</v>
      </c>
      <c r="P81" s="10" t="s">
        <v>377</v>
      </c>
      <c r="Q81" s="10" t="s">
        <v>47</v>
      </c>
      <c r="R81" s="10">
        <v>21380475</v>
      </c>
      <c r="S81" s="10" t="s">
        <v>63</v>
      </c>
      <c r="T81" s="79">
        <v>5</v>
      </c>
    </row>
    <row r="82" spans="13:20" x14ac:dyDescent="0.25">
      <c r="M82" s="77" t="s">
        <v>269</v>
      </c>
      <c r="N82" s="10" t="s">
        <v>290</v>
      </c>
      <c r="O82" s="10" t="s">
        <v>134</v>
      </c>
      <c r="P82" s="10" t="s">
        <v>376</v>
      </c>
      <c r="Q82" s="10" t="s">
        <v>1</v>
      </c>
      <c r="R82" s="10">
        <v>20002050</v>
      </c>
      <c r="S82" s="10" t="s">
        <v>136</v>
      </c>
      <c r="T82" s="79">
        <v>5</v>
      </c>
    </row>
    <row r="83" spans="13:20" x14ac:dyDescent="0.25">
      <c r="M83" s="77" t="s">
        <v>269</v>
      </c>
      <c r="N83" s="10" t="s">
        <v>290</v>
      </c>
      <c r="O83" s="10" t="s">
        <v>134</v>
      </c>
      <c r="P83" s="10" t="s">
        <v>391</v>
      </c>
      <c r="Q83" s="74" t="s">
        <v>47</v>
      </c>
      <c r="R83" s="74">
        <v>23068345</v>
      </c>
      <c r="S83" s="10" t="s">
        <v>62</v>
      </c>
      <c r="T83" s="79">
        <v>208</v>
      </c>
    </row>
    <row r="84" spans="13:20" x14ac:dyDescent="0.25">
      <c r="M84" s="77" t="s">
        <v>269</v>
      </c>
      <c r="N84" s="10" t="s">
        <v>302</v>
      </c>
      <c r="O84" s="10" t="s">
        <v>135</v>
      </c>
      <c r="P84" s="10" t="s">
        <v>372</v>
      </c>
      <c r="Q84" s="10" t="s">
        <v>47</v>
      </c>
      <c r="R84" s="10">
        <v>21707133</v>
      </c>
      <c r="S84" s="10" t="s">
        <v>48</v>
      </c>
      <c r="T84" s="79">
        <v>10</v>
      </c>
    </row>
    <row r="85" spans="13:20" x14ac:dyDescent="0.25">
      <c r="M85" s="77" t="s">
        <v>269</v>
      </c>
      <c r="N85" s="10" t="s">
        <v>302</v>
      </c>
      <c r="O85" s="10" t="s">
        <v>135</v>
      </c>
      <c r="P85" s="10" t="s">
        <v>373</v>
      </c>
      <c r="Q85" s="10" t="s">
        <v>47</v>
      </c>
      <c r="R85" s="10">
        <v>21707132</v>
      </c>
      <c r="S85" s="10" t="s">
        <v>50</v>
      </c>
      <c r="T85" s="79">
        <v>5</v>
      </c>
    </row>
    <row r="86" spans="13:20" x14ac:dyDescent="0.25">
      <c r="M86" s="77" t="s">
        <v>269</v>
      </c>
      <c r="N86" s="10" t="s">
        <v>302</v>
      </c>
      <c r="O86" s="10" t="s">
        <v>135</v>
      </c>
      <c r="P86" s="10" t="s">
        <v>374</v>
      </c>
      <c r="Q86" s="10" t="s">
        <v>47</v>
      </c>
      <c r="R86" s="10">
        <v>22480372</v>
      </c>
      <c r="S86" s="10" t="s">
        <v>52</v>
      </c>
      <c r="T86" s="79">
        <v>5</v>
      </c>
    </row>
    <row r="87" spans="13:20" x14ac:dyDescent="0.25">
      <c r="M87" s="77" t="s">
        <v>269</v>
      </c>
      <c r="N87" s="10" t="s">
        <v>302</v>
      </c>
      <c r="O87" s="10" t="s">
        <v>135</v>
      </c>
      <c r="P87" s="10" t="s">
        <v>382</v>
      </c>
      <c r="Q87" s="10" t="s">
        <v>47</v>
      </c>
      <c r="R87" s="10">
        <v>20998367</v>
      </c>
      <c r="S87" s="10" t="s">
        <v>58</v>
      </c>
      <c r="T87" s="79">
        <v>5</v>
      </c>
    </row>
    <row r="88" spans="13:20" x14ac:dyDescent="0.25">
      <c r="M88" s="77" t="s">
        <v>269</v>
      </c>
      <c r="N88" s="10" t="s">
        <v>302</v>
      </c>
      <c r="O88" s="10" t="s">
        <v>135</v>
      </c>
      <c r="P88" s="10" t="s">
        <v>376</v>
      </c>
      <c r="Q88" s="10" t="s">
        <v>1</v>
      </c>
      <c r="R88" s="10">
        <v>20002050</v>
      </c>
      <c r="S88" s="10" t="s">
        <v>136</v>
      </c>
      <c r="T88" s="79">
        <v>5</v>
      </c>
    </row>
    <row r="89" spans="13:20" x14ac:dyDescent="0.25">
      <c r="M89" s="77" t="s">
        <v>269</v>
      </c>
      <c r="N89" s="10" t="s">
        <v>302</v>
      </c>
      <c r="O89" s="10" t="s">
        <v>135</v>
      </c>
      <c r="P89" s="10" t="s">
        <v>391</v>
      </c>
      <c r="Q89" s="74" t="s">
        <v>47</v>
      </c>
      <c r="R89" s="74">
        <v>23068345</v>
      </c>
      <c r="S89" s="10" t="s">
        <v>62</v>
      </c>
      <c r="T89" s="79">
        <v>208</v>
      </c>
    </row>
    <row r="90" spans="13:20" x14ac:dyDescent="0.25">
      <c r="M90" s="77" t="s">
        <v>269</v>
      </c>
      <c r="N90" s="10" t="s">
        <v>286</v>
      </c>
      <c r="O90" s="10" t="s">
        <v>93</v>
      </c>
      <c r="P90" s="10" t="s">
        <v>372</v>
      </c>
      <c r="Q90" s="10" t="s">
        <v>47</v>
      </c>
      <c r="R90" s="10">
        <v>21707133</v>
      </c>
      <c r="S90" s="10" t="s">
        <v>48</v>
      </c>
      <c r="T90" s="79">
        <v>2</v>
      </c>
    </row>
    <row r="91" spans="13:20" x14ac:dyDescent="0.25">
      <c r="M91" s="77" t="s">
        <v>269</v>
      </c>
      <c r="N91" s="10" t="s">
        <v>286</v>
      </c>
      <c r="O91" s="10" t="s">
        <v>93</v>
      </c>
      <c r="P91" s="10" t="s">
        <v>373</v>
      </c>
      <c r="Q91" s="10" t="s">
        <v>47</v>
      </c>
      <c r="R91" s="10">
        <v>21707132</v>
      </c>
      <c r="S91" s="10" t="s">
        <v>50</v>
      </c>
      <c r="T91" s="79">
        <v>1</v>
      </c>
    </row>
    <row r="92" spans="13:20" x14ac:dyDescent="0.25">
      <c r="M92" s="77" t="s">
        <v>269</v>
      </c>
      <c r="N92" s="10" t="s">
        <v>286</v>
      </c>
      <c r="O92" s="10" t="s">
        <v>93</v>
      </c>
      <c r="P92" s="10" t="s">
        <v>374</v>
      </c>
      <c r="Q92" s="10" t="s">
        <v>47</v>
      </c>
      <c r="R92" s="10">
        <v>22480372</v>
      </c>
      <c r="S92" s="10" t="s">
        <v>52</v>
      </c>
      <c r="T92" s="79">
        <v>1</v>
      </c>
    </row>
    <row r="93" spans="13:20" x14ac:dyDescent="0.25">
      <c r="M93" s="77" t="s">
        <v>269</v>
      </c>
      <c r="N93" s="10" t="s">
        <v>286</v>
      </c>
      <c r="O93" s="10" t="s">
        <v>93</v>
      </c>
      <c r="P93" s="10" t="s">
        <v>382</v>
      </c>
      <c r="Q93" s="10" t="s">
        <v>47</v>
      </c>
      <c r="R93" s="10">
        <v>20998367</v>
      </c>
      <c r="S93" s="10" t="s">
        <v>126</v>
      </c>
      <c r="T93" s="79">
        <v>1</v>
      </c>
    </row>
    <row r="94" spans="13:20" x14ac:dyDescent="0.25">
      <c r="M94" s="77" t="s">
        <v>269</v>
      </c>
      <c r="N94" s="10" t="s">
        <v>286</v>
      </c>
      <c r="O94" s="10" t="s">
        <v>93</v>
      </c>
      <c r="P94" s="10" t="s">
        <v>376</v>
      </c>
      <c r="Q94" s="10" t="s">
        <v>1</v>
      </c>
      <c r="R94" s="10">
        <v>20002050</v>
      </c>
      <c r="S94" s="10" t="s">
        <v>136</v>
      </c>
      <c r="T94" s="79">
        <v>1</v>
      </c>
    </row>
    <row r="95" spans="13:20" x14ac:dyDescent="0.25">
      <c r="M95" s="77" t="s">
        <v>269</v>
      </c>
      <c r="N95" s="10" t="s">
        <v>286</v>
      </c>
      <c r="O95" s="10" t="s">
        <v>93</v>
      </c>
      <c r="P95" s="10" t="s">
        <v>390</v>
      </c>
      <c r="Q95" s="74" t="s">
        <v>47</v>
      </c>
      <c r="R95" s="74">
        <v>23068344</v>
      </c>
      <c r="S95" s="10" t="s">
        <v>59</v>
      </c>
      <c r="T95" s="79">
        <v>38</v>
      </c>
    </row>
    <row r="96" spans="13:20" x14ac:dyDescent="0.25">
      <c r="M96" s="77" t="s">
        <v>269</v>
      </c>
      <c r="N96" s="10" t="s">
        <v>283</v>
      </c>
      <c r="O96" s="10" t="s">
        <v>109</v>
      </c>
      <c r="P96" s="10" t="s">
        <v>372</v>
      </c>
      <c r="Q96" s="10" t="s">
        <v>47</v>
      </c>
      <c r="R96" s="10">
        <v>21707133</v>
      </c>
      <c r="S96" s="10" t="s">
        <v>48</v>
      </c>
      <c r="T96" s="79">
        <v>2</v>
      </c>
    </row>
    <row r="97" spans="13:20" x14ac:dyDescent="0.25">
      <c r="M97" s="77" t="s">
        <v>269</v>
      </c>
      <c r="N97" s="10" t="s">
        <v>283</v>
      </c>
      <c r="O97" s="10" t="s">
        <v>109</v>
      </c>
      <c r="P97" s="10" t="s">
        <v>373</v>
      </c>
      <c r="Q97" s="10" t="s">
        <v>47</v>
      </c>
      <c r="R97" s="10">
        <v>21707132</v>
      </c>
      <c r="S97" s="10" t="s">
        <v>50</v>
      </c>
      <c r="T97" s="79">
        <v>1</v>
      </c>
    </row>
    <row r="98" spans="13:20" x14ac:dyDescent="0.25">
      <c r="M98" s="77" t="s">
        <v>269</v>
      </c>
      <c r="N98" s="10" t="s">
        <v>283</v>
      </c>
      <c r="O98" s="10" t="s">
        <v>109</v>
      </c>
      <c r="P98" s="10" t="s">
        <v>388</v>
      </c>
      <c r="Q98" s="10" t="s">
        <v>47</v>
      </c>
      <c r="R98" s="10">
        <v>8193841</v>
      </c>
      <c r="S98" s="10" t="s">
        <v>52</v>
      </c>
      <c r="T98" s="79">
        <v>1</v>
      </c>
    </row>
    <row r="99" spans="13:20" x14ac:dyDescent="0.25">
      <c r="M99" s="77" t="s">
        <v>269</v>
      </c>
      <c r="N99" s="10" t="s">
        <v>283</v>
      </c>
      <c r="O99" s="10" t="s">
        <v>109</v>
      </c>
      <c r="P99" s="10" t="s">
        <v>376</v>
      </c>
      <c r="Q99" s="10" t="s">
        <v>1</v>
      </c>
      <c r="R99" s="10">
        <v>20002050</v>
      </c>
      <c r="S99" s="10" t="s">
        <v>136</v>
      </c>
      <c r="T99" s="79">
        <v>1</v>
      </c>
    </row>
    <row r="100" spans="13:20" x14ac:dyDescent="0.25">
      <c r="M100" s="77" t="s">
        <v>269</v>
      </c>
      <c r="N100" s="10" t="s">
        <v>283</v>
      </c>
      <c r="O100" s="10" t="s">
        <v>109</v>
      </c>
      <c r="P100" s="10" t="s">
        <v>390</v>
      </c>
      <c r="Q100" s="74" t="s">
        <v>47</v>
      </c>
      <c r="R100" s="74">
        <v>23068344</v>
      </c>
      <c r="S100" s="10" t="s">
        <v>59</v>
      </c>
      <c r="T100" s="79">
        <v>38</v>
      </c>
    </row>
    <row r="101" spans="13:20" x14ac:dyDescent="0.25">
      <c r="M101" s="77" t="s">
        <v>269</v>
      </c>
      <c r="N101" s="10" t="s">
        <v>285</v>
      </c>
      <c r="O101" s="10" t="s">
        <v>110</v>
      </c>
      <c r="P101" s="10" t="s">
        <v>379</v>
      </c>
      <c r="Q101" s="10" t="s">
        <v>47</v>
      </c>
      <c r="R101" s="10">
        <v>21707134</v>
      </c>
      <c r="S101" s="10" t="s">
        <v>60</v>
      </c>
      <c r="T101" s="79">
        <v>2</v>
      </c>
    </row>
    <row r="102" spans="13:20" x14ac:dyDescent="0.25">
      <c r="M102" s="77" t="s">
        <v>269</v>
      </c>
      <c r="N102" s="10" t="s">
        <v>285</v>
      </c>
      <c r="O102" s="10" t="s">
        <v>110</v>
      </c>
      <c r="P102" s="10" t="s">
        <v>392</v>
      </c>
      <c r="Q102" s="10" t="s">
        <v>47</v>
      </c>
      <c r="R102" s="10">
        <v>466987</v>
      </c>
      <c r="S102" s="10" t="s">
        <v>61</v>
      </c>
      <c r="T102" s="79">
        <v>2</v>
      </c>
    </row>
    <row r="103" spans="13:20" x14ac:dyDescent="0.25">
      <c r="M103" s="77" t="s">
        <v>269</v>
      </c>
      <c r="N103" s="10" t="s">
        <v>285</v>
      </c>
      <c r="O103" s="10" t="s">
        <v>110</v>
      </c>
      <c r="P103" s="10" t="s">
        <v>376</v>
      </c>
      <c r="Q103" s="10" t="s">
        <v>1</v>
      </c>
      <c r="R103" s="10">
        <v>20002050</v>
      </c>
      <c r="S103" s="10" t="s">
        <v>136</v>
      </c>
      <c r="T103" s="79">
        <v>1</v>
      </c>
    </row>
    <row r="104" spans="13:20" x14ac:dyDescent="0.25">
      <c r="M104" s="77" t="s">
        <v>269</v>
      </c>
      <c r="N104" s="10" t="s">
        <v>285</v>
      </c>
      <c r="O104" s="10" t="s">
        <v>110</v>
      </c>
      <c r="P104" s="10" t="s">
        <v>390</v>
      </c>
      <c r="Q104" s="74" t="s">
        <v>47</v>
      </c>
      <c r="R104" s="74">
        <v>23068344</v>
      </c>
      <c r="S104" s="10" t="s">
        <v>59</v>
      </c>
      <c r="T104" s="79">
        <v>38</v>
      </c>
    </row>
    <row r="105" spans="13:20" x14ac:dyDescent="0.25">
      <c r="M105" s="77" t="s">
        <v>273</v>
      </c>
      <c r="N105" s="10" t="s">
        <v>261</v>
      </c>
      <c r="O105" s="10" t="s">
        <v>80</v>
      </c>
      <c r="P105" s="10" t="s">
        <v>373</v>
      </c>
      <c r="Q105" s="10" t="s">
        <v>47</v>
      </c>
      <c r="R105" s="10">
        <v>21707132</v>
      </c>
      <c r="S105" s="10" t="s">
        <v>50</v>
      </c>
      <c r="T105" s="79">
        <v>1</v>
      </c>
    </row>
    <row r="106" spans="13:20" x14ac:dyDescent="0.25">
      <c r="M106" s="77" t="s">
        <v>273</v>
      </c>
      <c r="N106" s="10" t="s">
        <v>261</v>
      </c>
      <c r="O106" s="10" t="s">
        <v>80</v>
      </c>
      <c r="P106" s="10" t="s">
        <v>372</v>
      </c>
      <c r="Q106" s="10" t="s">
        <v>47</v>
      </c>
      <c r="R106" s="10">
        <v>21707133</v>
      </c>
      <c r="S106" s="10" t="s">
        <v>48</v>
      </c>
      <c r="T106" s="79">
        <v>2</v>
      </c>
    </row>
    <row r="107" spans="13:20" x14ac:dyDescent="0.25">
      <c r="M107" s="77" t="s">
        <v>273</v>
      </c>
      <c r="N107" s="10" t="s">
        <v>261</v>
      </c>
      <c r="O107" s="10" t="s">
        <v>80</v>
      </c>
      <c r="P107" s="10" t="s">
        <v>393</v>
      </c>
      <c r="Q107" s="10" t="s">
        <v>82</v>
      </c>
      <c r="R107" s="10">
        <v>15126069</v>
      </c>
      <c r="S107" s="10" t="s">
        <v>52</v>
      </c>
      <c r="T107" s="79">
        <v>1</v>
      </c>
    </row>
    <row r="108" spans="13:20" x14ac:dyDescent="0.25">
      <c r="M108" s="77" t="s">
        <v>273</v>
      </c>
      <c r="N108" s="10" t="s">
        <v>261</v>
      </c>
      <c r="O108" s="10" t="s">
        <v>80</v>
      </c>
      <c r="P108" s="10" t="s">
        <v>394</v>
      </c>
      <c r="Q108" s="10" t="s">
        <v>82</v>
      </c>
      <c r="R108" s="10">
        <v>11110683</v>
      </c>
      <c r="S108" s="10" t="s">
        <v>342</v>
      </c>
      <c r="T108" s="79">
        <v>1</v>
      </c>
    </row>
    <row r="109" spans="13:20" x14ac:dyDescent="0.25">
      <c r="M109" s="77" t="s">
        <v>273</v>
      </c>
      <c r="N109" s="10" t="s">
        <v>261</v>
      </c>
      <c r="O109" s="10" t="s">
        <v>80</v>
      </c>
      <c r="P109" s="10" t="s">
        <v>376</v>
      </c>
      <c r="Q109" s="10" t="s">
        <v>1</v>
      </c>
      <c r="R109" s="10">
        <v>20002050</v>
      </c>
      <c r="S109" s="10" t="s">
        <v>136</v>
      </c>
      <c r="T109" s="79">
        <v>1</v>
      </c>
    </row>
    <row r="110" spans="13:20" x14ac:dyDescent="0.25">
      <c r="M110" s="77" t="s">
        <v>273</v>
      </c>
      <c r="N110" s="10" t="s">
        <v>261</v>
      </c>
      <c r="O110" s="10" t="s">
        <v>80</v>
      </c>
      <c r="P110" s="10" t="s">
        <v>390</v>
      </c>
      <c r="Q110" s="74" t="s">
        <v>47</v>
      </c>
      <c r="R110" s="74">
        <v>23068344</v>
      </c>
      <c r="S110" s="10" t="s">
        <v>59</v>
      </c>
      <c r="T110" s="79">
        <v>57</v>
      </c>
    </row>
    <row r="111" spans="13:20" x14ac:dyDescent="0.25">
      <c r="M111" s="77" t="s">
        <v>273</v>
      </c>
      <c r="N111" s="10" t="s">
        <v>262</v>
      </c>
      <c r="O111" s="10" t="s">
        <v>101</v>
      </c>
      <c r="P111" s="10" t="s">
        <v>395</v>
      </c>
      <c r="Q111" s="10" t="s">
        <v>82</v>
      </c>
      <c r="R111" s="10">
        <v>17457469</v>
      </c>
      <c r="S111" s="10" t="s">
        <v>50</v>
      </c>
      <c r="T111" s="79">
        <v>1</v>
      </c>
    </row>
    <row r="112" spans="13:20" x14ac:dyDescent="0.25">
      <c r="M112" s="77" t="s">
        <v>273</v>
      </c>
      <c r="N112" s="10" t="s">
        <v>262</v>
      </c>
      <c r="O112" s="10" t="s">
        <v>101</v>
      </c>
      <c r="P112" s="10" t="s">
        <v>396</v>
      </c>
      <c r="Q112" s="10" t="s">
        <v>82</v>
      </c>
      <c r="R112" s="10">
        <v>20805349</v>
      </c>
      <c r="S112" s="10" t="s">
        <v>52</v>
      </c>
      <c r="T112" s="79">
        <v>1</v>
      </c>
    </row>
    <row r="113" spans="13:20" x14ac:dyDescent="0.25">
      <c r="M113" s="77" t="s">
        <v>273</v>
      </c>
      <c r="N113" s="10" t="s">
        <v>262</v>
      </c>
      <c r="O113" s="10" t="s">
        <v>101</v>
      </c>
      <c r="P113" s="10" t="s">
        <v>394</v>
      </c>
      <c r="Q113" s="10" t="s">
        <v>82</v>
      </c>
      <c r="R113" s="10">
        <v>11110683</v>
      </c>
      <c r="S113" s="10" t="s">
        <v>342</v>
      </c>
      <c r="T113" s="79">
        <v>1</v>
      </c>
    </row>
    <row r="114" spans="13:20" x14ac:dyDescent="0.25">
      <c r="M114" s="77" t="s">
        <v>273</v>
      </c>
      <c r="N114" s="10" t="s">
        <v>262</v>
      </c>
      <c r="O114" s="10" t="s">
        <v>101</v>
      </c>
      <c r="P114" s="10" t="s">
        <v>376</v>
      </c>
      <c r="Q114" s="10" t="s">
        <v>1</v>
      </c>
      <c r="R114" s="10">
        <v>20002050</v>
      </c>
      <c r="S114" s="10" t="s">
        <v>136</v>
      </c>
      <c r="T114" s="79">
        <v>1</v>
      </c>
    </row>
    <row r="115" spans="13:20" x14ac:dyDescent="0.25">
      <c r="M115" s="77" t="s">
        <v>273</v>
      </c>
      <c r="N115" s="10" t="s">
        <v>262</v>
      </c>
      <c r="O115" s="10" t="s">
        <v>101</v>
      </c>
      <c r="P115" s="10" t="s">
        <v>390</v>
      </c>
      <c r="Q115" s="74" t="s">
        <v>47</v>
      </c>
      <c r="R115" s="74">
        <v>23068344</v>
      </c>
      <c r="S115" s="10" t="s">
        <v>59</v>
      </c>
      <c r="T115" s="79">
        <v>38</v>
      </c>
    </row>
    <row r="116" spans="13:20" x14ac:dyDescent="0.25">
      <c r="M116" s="77" t="s">
        <v>273</v>
      </c>
      <c r="N116" s="10" t="s">
        <v>263</v>
      </c>
      <c r="O116" s="10" t="s">
        <v>102</v>
      </c>
      <c r="P116" s="10" t="s">
        <v>395</v>
      </c>
      <c r="Q116" s="10" t="s">
        <v>82</v>
      </c>
      <c r="R116" s="10">
        <v>17457469</v>
      </c>
      <c r="S116" s="10" t="s">
        <v>50</v>
      </c>
      <c r="T116" s="79">
        <v>1</v>
      </c>
    </row>
    <row r="117" spans="13:20" x14ac:dyDescent="0.25">
      <c r="M117" s="77" t="s">
        <v>273</v>
      </c>
      <c r="N117" s="10" t="s">
        <v>263</v>
      </c>
      <c r="O117" s="10" t="s">
        <v>102</v>
      </c>
      <c r="P117" s="10" t="s">
        <v>392</v>
      </c>
      <c r="Q117" s="10" t="s">
        <v>47</v>
      </c>
      <c r="R117" s="10">
        <v>466987</v>
      </c>
      <c r="S117" s="10" t="s">
        <v>61</v>
      </c>
      <c r="T117" s="79">
        <v>1</v>
      </c>
    </row>
    <row r="118" spans="13:20" x14ac:dyDescent="0.25">
      <c r="M118" s="77" t="s">
        <v>273</v>
      </c>
      <c r="N118" s="10" t="s">
        <v>263</v>
      </c>
      <c r="O118" s="10" t="s">
        <v>102</v>
      </c>
      <c r="P118" s="10" t="s">
        <v>397</v>
      </c>
      <c r="Q118" s="10" t="s">
        <v>47</v>
      </c>
      <c r="R118" s="10">
        <v>11110668</v>
      </c>
      <c r="S118" s="10" t="s">
        <v>122</v>
      </c>
      <c r="T118" s="79">
        <v>1</v>
      </c>
    </row>
    <row r="119" spans="13:20" x14ac:dyDescent="0.25">
      <c r="M119" s="77" t="s">
        <v>273</v>
      </c>
      <c r="N119" s="10" t="s">
        <v>263</v>
      </c>
      <c r="O119" s="10" t="s">
        <v>102</v>
      </c>
      <c r="P119" s="10" t="s">
        <v>376</v>
      </c>
      <c r="Q119" s="10" t="s">
        <v>1</v>
      </c>
      <c r="R119" s="10">
        <v>20002050</v>
      </c>
      <c r="S119" s="10" t="s">
        <v>136</v>
      </c>
      <c r="T119" s="79">
        <v>1</v>
      </c>
    </row>
    <row r="120" spans="13:20" x14ac:dyDescent="0.25">
      <c r="M120" s="77" t="s">
        <v>273</v>
      </c>
      <c r="N120" s="10" t="s">
        <v>263</v>
      </c>
      <c r="O120" s="10" t="s">
        <v>102</v>
      </c>
      <c r="P120" s="10" t="s">
        <v>390</v>
      </c>
      <c r="Q120" s="74" t="s">
        <v>47</v>
      </c>
      <c r="R120" s="74">
        <v>23068344</v>
      </c>
      <c r="S120" s="10" t="s">
        <v>59</v>
      </c>
      <c r="T120" s="79">
        <v>19</v>
      </c>
    </row>
    <row r="121" spans="13:20" x14ac:dyDescent="0.25">
      <c r="M121" s="77" t="s">
        <v>273</v>
      </c>
      <c r="N121" s="10" t="s">
        <v>264</v>
      </c>
      <c r="O121" s="10" t="s">
        <v>103</v>
      </c>
      <c r="P121" s="10" t="s">
        <v>398</v>
      </c>
      <c r="Q121" s="10" t="s">
        <v>92</v>
      </c>
      <c r="R121" s="10">
        <v>43919927</v>
      </c>
      <c r="S121" s="10" t="s">
        <v>50</v>
      </c>
      <c r="T121" s="79">
        <v>1</v>
      </c>
    </row>
    <row r="122" spans="13:20" x14ac:dyDescent="0.25">
      <c r="M122" s="77" t="s">
        <v>273</v>
      </c>
      <c r="N122" s="10" t="s">
        <v>264</v>
      </c>
      <c r="O122" s="10" t="s">
        <v>103</v>
      </c>
      <c r="P122" s="10" t="s">
        <v>399</v>
      </c>
      <c r="Q122" s="10" t="s">
        <v>92</v>
      </c>
      <c r="R122" s="10">
        <v>43919935</v>
      </c>
      <c r="S122" s="10" t="s">
        <v>52</v>
      </c>
      <c r="T122" s="79">
        <v>1</v>
      </c>
    </row>
    <row r="123" spans="13:20" x14ac:dyDescent="0.25">
      <c r="M123" s="77" t="s">
        <v>273</v>
      </c>
      <c r="N123" s="10" t="s">
        <v>264</v>
      </c>
      <c r="O123" s="10" t="s">
        <v>103</v>
      </c>
      <c r="P123" s="10" t="s">
        <v>400</v>
      </c>
      <c r="Q123" s="10" t="s">
        <v>92</v>
      </c>
      <c r="R123" s="10">
        <v>43919943</v>
      </c>
      <c r="S123" s="10" t="s">
        <v>52</v>
      </c>
      <c r="T123" s="79">
        <v>1</v>
      </c>
    </row>
    <row r="124" spans="13:20" x14ac:dyDescent="0.25">
      <c r="M124" s="77" t="s">
        <v>273</v>
      </c>
      <c r="N124" s="10" t="s">
        <v>264</v>
      </c>
      <c r="O124" s="10" t="s">
        <v>103</v>
      </c>
      <c r="P124" s="10" t="s">
        <v>376</v>
      </c>
      <c r="Q124" s="10" t="s">
        <v>1</v>
      </c>
      <c r="R124" s="10">
        <v>20002050</v>
      </c>
      <c r="S124" s="10" t="s">
        <v>136</v>
      </c>
      <c r="T124" s="79">
        <v>1</v>
      </c>
    </row>
    <row r="125" spans="13:20" x14ac:dyDescent="0.25">
      <c r="M125" s="77" t="s">
        <v>273</v>
      </c>
      <c r="N125" s="10" t="s">
        <v>264</v>
      </c>
      <c r="O125" s="10" t="s">
        <v>103</v>
      </c>
      <c r="P125" s="10" t="s">
        <v>390</v>
      </c>
      <c r="Q125" s="74" t="s">
        <v>47</v>
      </c>
      <c r="R125" s="74">
        <v>23068344</v>
      </c>
      <c r="S125" s="10" t="s">
        <v>59</v>
      </c>
      <c r="T125" s="79">
        <v>19</v>
      </c>
    </row>
    <row r="126" spans="13:20" x14ac:dyDescent="0.25">
      <c r="M126" s="77" t="s">
        <v>273</v>
      </c>
      <c r="N126" s="10" t="s">
        <v>265</v>
      </c>
      <c r="O126" s="10" t="s">
        <v>165</v>
      </c>
      <c r="P126" s="10" t="s">
        <v>373</v>
      </c>
      <c r="Q126" s="10" t="s">
        <v>47</v>
      </c>
      <c r="R126" s="10">
        <v>21707132</v>
      </c>
      <c r="S126" s="10" t="s">
        <v>50</v>
      </c>
      <c r="T126" s="79">
        <v>1</v>
      </c>
    </row>
    <row r="127" spans="13:20" x14ac:dyDescent="0.25">
      <c r="M127" s="77" t="s">
        <v>273</v>
      </c>
      <c r="N127" s="10" t="s">
        <v>265</v>
      </c>
      <c r="O127" s="10" t="s">
        <v>165</v>
      </c>
      <c r="P127" s="10" t="s">
        <v>379</v>
      </c>
      <c r="Q127" s="10" t="s">
        <v>47</v>
      </c>
      <c r="R127" s="10">
        <v>21707134</v>
      </c>
      <c r="S127" s="10" t="s">
        <v>60</v>
      </c>
      <c r="T127" s="79">
        <v>2</v>
      </c>
    </row>
    <row r="128" spans="13:20" x14ac:dyDescent="0.25">
      <c r="M128" s="77" t="s">
        <v>273</v>
      </c>
      <c r="N128" s="10" t="s">
        <v>265</v>
      </c>
      <c r="O128" s="10" t="s">
        <v>165</v>
      </c>
      <c r="P128" s="10" t="s">
        <v>392</v>
      </c>
      <c r="Q128" s="10" t="s">
        <v>47</v>
      </c>
      <c r="R128" s="10">
        <v>466987</v>
      </c>
      <c r="S128" s="10" t="s">
        <v>61</v>
      </c>
      <c r="T128" s="79">
        <v>2</v>
      </c>
    </row>
    <row r="129" spans="13:20" x14ac:dyDescent="0.25">
      <c r="M129" s="77" t="s">
        <v>273</v>
      </c>
      <c r="N129" s="10" t="s">
        <v>265</v>
      </c>
      <c r="O129" s="10" t="s">
        <v>165</v>
      </c>
      <c r="P129" s="10" t="s">
        <v>381</v>
      </c>
      <c r="Q129" s="10" t="s">
        <v>47</v>
      </c>
      <c r="R129" s="10">
        <v>8159975</v>
      </c>
      <c r="S129" s="10" t="s">
        <v>343</v>
      </c>
      <c r="T129" s="79">
        <v>1</v>
      </c>
    </row>
    <row r="130" spans="13:20" x14ac:dyDescent="0.25">
      <c r="M130" s="77" t="s">
        <v>273</v>
      </c>
      <c r="N130" s="10" t="s">
        <v>265</v>
      </c>
      <c r="O130" s="10" t="s">
        <v>165</v>
      </c>
      <c r="P130" s="10" t="s">
        <v>376</v>
      </c>
      <c r="Q130" s="10" t="s">
        <v>1</v>
      </c>
      <c r="R130" s="10">
        <v>20002050</v>
      </c>
      <c r="S130" s="10" t="s">
        <v>136</v>
      </c>
      <c r="T130" s="79">
        <v>1</v>
      </c>
    </row>
    <row r="131" spans="13:20" x14ac:dyDescent="0.25">
      <c r="M131" s="77" t="s">
        <v>273</v>
      </c>
      <c r="N131" s="10" t="s">
        <v>265</v>
      </c>
      <c r="O131" s="10" t="s">
        <v>165</v>
      </c>
      <c r="P131" s="10" t="s">
        <v>390</v>
      </c>
      <c r="Q131" s="74" t="s">
        <v>47</v>
      </c>
      <c r="R131" s="74">
        <v>23068344</v>
      </c>
      <c r="S131" s="10" t="s">
        <v>59</v>
      </c>
      <c r="T131" s="79">
        <v>38</v>
      </c>
    </row>
    <row r="132" spans="13:20" x14ac:dyDescent="0.25">
      <c r="M132" s="77" t="s">
        <v>273</v>
      </c>
      <c r="N132" s="10" t="s">
        <v>266</v>
      </c>
      <c r="O132" s="10" t="s">
        <v>105</v>
      </c>
      <c r="P132" s="10" t="s">
        <v>373</v>
      </c>
      <c r="Q132" s="10" t="s">
        <v>47</v>
      </c>
      <c r="R132" s="10">
        <v>21707132</v>
      </c>
      <c r="S132" s="10" t="s">
        <v>50</v>
      </c>
      <c r="T132" s="79">
        <v>1</v>
      </c>
    </row>
    <row r="133" spans="13:20" x14ac:dyDescent="0.25">
      <c r="M133" s="77" t="s">
        <v>273</v>
      </c>
      <c r="N133" s="10" t="s">
        <v>266</v>
      </c>
      <c r="O133" s="10" t="s">
        <v>105</v>
      </c>
      <c r="P133" s="10" t="s">
        <v>372</v>
      </c>
      <c r="Q133" s="10" t="s">
        <v>47</v>
      </c>
      <c r="R133" s="10">
        <v>21707133</v>
      </c>
      <c r="S133" s="10" t="s">
        <v>48</v>
      </c>
      <c r="T133" s="79">
        <v>2</v>
      </c>
    </row>
    <row r="134" spans="13:20" x14ac:dyDescent="0.25">
      <c r="M134" s="77" t="s">
        <v>273</v>
      </c>
      <c r="N134" s="10" t="s">
        <v>266</v>
      </c>
      <c r="O134" s="10" t="s">
        <v>105</v>
      </c>
      <c r="P134" s="10" t="s">
        <v>388</v>
      </c>
      <c r="Q134" s="10" t="s">
        <v>47</v>
      </c>
      <c r="R134" s="10">
        <v>8193841</v>
      </c>
      <c r="S134" s="10" t="s">
        <v>63</v>
      </c>
      <c r="T134" s="79">
        <v>1</v>
      </c>
    </row>
    <row r="135" spans="13:20" x14ac:dyDescent="0.25">
      <c r="M135" s="77" t="s">
        <v>273</v>
      </c>
      <c r="N135" s="10" t="s">
        <v>266</v>
      </c>
      <c r="O135" s="10" t="s">
        <v>105</v>
      </c>
      <c r="P135" s="10" t="s">
        <v>381</v>
      </c>
      <c r="Q135" s="10" t="s">
        <v>47</v>
      </c>
      <c r="R135" s="10">
        <v>8159975</v>
      </c>
      <c r="S135" s="10" t="s">
        <v>343</v>
      </c>
      <c r="T135" s="79">
        <v>1</v>
      </c>
    </row>
    <row r="136" spans="13:20" x14ac:dyDescent="0.25">
      <c r="M136" s="77" t="s">
        <v>273</v>
      </c>
      <c r="N136" s="10" t="s">
        <v>266</v>
      </c>
      <c r="O136" s="10" t="s">
        <v>105</v>
      </c>
      <c r="P136" s="10" t="s">
        <v>376</v>
      </c>
      <c r="Q136" s="10" t="s">
        <v>1</v>
      </c>
      <c r="R136" s="10">
        <v>20002050</v>
      </c>
      <c r="S136" s="10" t="s">
        <v>136</v>
      </c>
      <c r="T136" s="79">
        <v>1</v>
      </c>
    </row>
    <row r="137" spans="13:20" x14ac:dyDescent="0.25">
      <c r="M137" s="77" t="s">
        <v>273</v>
      </c>
      <c r="N137" s="10" t="s">
        <v>266</v>
      </c>
      <c r="O137" s="10" t="s">
        <v>105</v>
      </c>
      <c r="P137" s="10" t="s">
        <v>390</v>
      </c>
      <c r="Q137" s="74" t="s">
        <v>47</v>
      </c>
      <c r="R137" s="74">
        <v>23068344</v>
      </c>
      <c r="S137" s="10" t="s">
        <v>59</v>
      </c>
      <c r="T137" s="79">
        <v>38</v>
      </c>
    </row>
    <row r="138" spans="13:20" x14ac:dyDescent="0.25">
      <c r="M138" s="77" t="s">
        <v>273</v>
      </c>
      <c r="N138" s="10" t="s">
        <v>267</v>
      </c>
      <c r="O138" s="10" t="s">
        <v>339</v>
      </c>
      <c r="P138" s="10" t="s">
        <v>395</v>
      </c>
      <c r="Q138" s="10" t="s">
        <v>82</v>
      </c>
      <c r="R138" s="10">
        <v>17457469</v>
      </c>
      <c r="S138" s="10" t="s">
        <v>50</v>
      </c>
      <c r="T138" s="79">
        <v>1</v>
      </c>
    </row>
    <row r="139" spans="13:20" x14ac:dyDescent="0.25">
      <c r="M139" s="77" t="s">
        <v>273</v>
      </c>
      <c r="N139" s="10" t="s">
        <v>267</v>
      </c>
      <c r="O139" s="10" t="s">
        <v>339</v>
      </c>
      <c r="P139" s="10" t="s">
        <v>396</v>
      </c>
      <c r="Q139" s="10" t="s">
        <v>82</v>
      </c>
      <c r="R139" s="10">
        <v>20805349</v>
      </c>
      <c r="S139" s="10" t="s">
        <v>52</v>
      </c>
      <c r="T139" s="79">
        <v>1</v>
      </c>
    </row>
    <row r="140" spans="13:20" x14ac:dyDescent="0.25">
      <c r="M140" s="77" t="s">
        <v>273</v>
      </c>
      <c r="N140" s="10" t="s">
        <v>267</v>
      </c>
      <c r="O140" s="10" t="s">
        <v>339</v>
      </c>
      <c r="P140" s="10" t="s">
        <v>394</v>
      </c>
      <c r="Q140" s="10" t="s">
        <v>82</v>
      </c>
      <c r="R140" s="10">
        <v>11110683</v>
      </c>
      <c r="S140" s="10" t="s">
        <v>342</v>
      </c>
      <c r="T140" s="79">
        <v>1</v>
      </c>
    </row>
    <row r="141" spans="13:20" x14ac:dyDescent="0.25">
      <c r="M141" s="77" t="s">
        <v>273</v>
      </c>
      <c r="N141" s="10" t="s">
        <v>267</v>
      </c>
      <c r="O141" s="10" t="s">
        <v>339</v>
      </c>
      <c r="P141" s="10" t="s">
        <v>376</v>
      </c>
      <c r="Q141" s="10" t="s">
        <v>1</v>
      </c>
      <c r="R141" s="10">
        <v>20002050</v>
      </c>
      <c r="S141" s="10" t="s">
        <v>136</v>
      </c>
      <c r="T141" s="79">
        <v>1</v>
      </c>
    </row>
    <row r="142" spans="13:20" x14ac:dyDescent="0.25">
      <c r="M142" s="77" t="s">
        <v>273</v>
      </c>
      <c r="N142" s="10" t="s">
        <v>267</v>
      </c>
      <c r="O142" s="10" t="s">
        <v>339</v>
      </c>
      <c r="P142" s="10" t="s">
        <v>389</v>
      </c>
      <c r="Q142" s="10" t="s">
        <v>47</v>
      </c>
      <c r="R142" s="10">
        <v>23068343</v>
      </c>
      <c r="S142" s="10" t="s">
        <v>344</v>
      </c>
      <c r="T142" s="79">
        <v>1</v>
      </c>
    </row>
    <row r="143" spans="13:20" x14ac:dyDescent="0.25">
      <c r="M143" s="77" t="s">
        <v>273</v>
      </c>
      <c r="N143" s="10" t="s">
        <v>267</v>
      </c>
      <c r="O143" s="10" t="s">
        <v>339</v>
      </c>
      <c r="P143" s="10" t="s">
        <v>390</v>
      </c>
      <c r="Q143" s="74" t="s">
        <v>47</v>
      </c>
      <c r="R143" s="74">
        <v>23068344</v>
      </c>
      <c r="S143" s="10" t="s">
        <v>59</v>
      </c>
      <c r="T143" s="79">
        <v>19</v>
      </c>
    </row>
    <row r="144" spans="13:20" x14ac:dyDescent="0.25">
      <c r="M144" s="77" t="s">
        <v>273</v>
      </c>
      <c r="N144" s="10" t="s">
        <v>117</v>
      </c>
      <c r="O144" s="10" t="s">
        <v>169</v>
      </c>
      <c r="P144" s="10" t="s">
        <v>373</v>
      </c>
      <c r="Q144" s="10" t="s">
        <v>47</v>
      </c>
      <c r="R144" s="10">
        <v>21707132</v>
      </c>
      <c r="S144" s="10" t="s">
        <v>50</v>
      </c>
      <c r="T144" s="79">
        <v>4</v>
      </c>
    </row>
    <row r="145" spans="13:20" x14ac:dyDescent="0.25">
      <c r="M145" s="77" t="s">
        <v>273</v>
      </c>
      <c r="N145" s="10" t="s">
        <v>117</v>
      </c>
      <c r="O145" s="10" t="s">
        <v>169</v>
      </c>
      <c r="P145" s="10" t="s">
        <v>372</v>
      </c>
      <c r="Q145" s="10" t="s">
        <v>47</v>
      </c>
      <c r="R145" s="10">
        <v>21707133</v>
      </c>
      <c r="S145" s="10" t="s">
        <v>48</v>
      </c>
      <c r="T145" s="79">
        <v>8</v>
      </c>
    </row>
    <row r="146" spans="13:20" x14ac:dyDescent="0.25">
      <c r="M146" s="77" t="s">
        <v>273</v>
      </c>
      <c r="N146" s="10" t="s">
        <v>117</v>
      </c>
      <c r="O146" s="10" t="s">
        <v>169</v>
      </c>
      <c r="P146" s="10" t="s">
        <v>393</v>
      </c>
      <c r="Q146" s="10" t="s">
        <v>82</v>
      </c>
      <c r="R146" s="10">
        <v>15126069</v>
      </c>
      <c r="S146" s="10" t="s">
        <v>52</v>
      </c>
      <c r="T146" s="79">
        <v>4</v>
      </c>
    </row>
    <row r="147" spans="13:20" x14ac:dyDescent="0.25">
      <c r="M147" s="77" t="s">
        <v>273</v>
      </c>
      <c r="N147" s="10" t="s">
        <v>117</v>
      </c>
      <c r="O147" s="10" t="s">
        <v>169</v>
      </c>
      <c r="P147" s="10" t="s">
        <v>394</v>
      </c>
      <c r="Q147" s="10" t="s">
        <v>82</v>
      </c>
      <c r="R147" s="10">
        <v>11110683</v>
      </c>
      <c r="S147" s="10" t="s">
        <v>342</v>
      </c>
      <c r="T147" s="79">
        <v>4</v>
      </c>
    </row>
    <row r="148" spans="13:20" x14ac:dyDescent="0.25">
      <c r="M148" s="77" t="s">
        <v>273</v>
      </c>
      <c r="N148" s="10" t="s">
        <v>117</v>
      </c>
      <c r="O148" s="10" t="s">
        <v>169</v>
      </c>
      <c r="P148" s="10" t="s">
        <v>376</v>
      </c>
      <c r="Q148" s="10" t="s">
        <v>1</v>
      </c>
      <c r="R148" s="10">
        <v>20002050</v>
      </c>
      <c r="S148" s="10" t="s">
        <v>136</v>
      </c>
      <c r="T148" s="79">
        <v>4</v>
      </c>
    </row>
    <row r="149" spans="13:20" x14ac:dyDescent="0.25">
      <c r="M149" s="77" t="s">
        <v>273</v>
      </c>
      <c r="N149" s="10" t="s">
        <v>117</v>
      </c>
      <c r="O149" s="10" t="s">
        <v>169</v>
      </c>
      <c r="P149" s="10" t="s">
        <v>391</v>
      </c>
      <c r="Q149" s="74" t="s">
        <v>47</v>
      </c>
      <c r="R149" s="74">
        <v>23068345</v>
      </c>
      <c r="S149" s="10" t="s">
        <v>62</v>
      </c>
      <c r="T149" s="79">
        <v>208</v>
      </c>
    </row>
    <row r="150" spans="13:20" x14ac:dyDescent="0.25">
      <c r="M150" s="77" t="s">
        <v>274</v>
      </c>
      <c r="N150" s="10" t="s">
        <v>328</v>
      </c>
      <c r="O150" s="10" t="s">
        <v>144</v>
      </c>
      <c r="P150" s="10" t="s">
        <v>373</v>
      </c>
      <c r="Q150" s="10" t="s">
        <v>47</v>
      </c>
      <c r="R150" s="10">
        <v>21707132</v>
      </c>
      <c r="S150" s="10" t="s">
        <v>50</v>
      </c>
      <c r="T150" s="79">
        <v>1</v>
      </c>
    </row>
    <row r="151" spans="13:20" x14ac:dyDescent="0.25">
      <c r="M151" s="77" t="s">
        <v>274</v>
      </c>
      <c r="N151" s="10" t="s">
        <v>328</v>
      </c>
      <c r="O151" s="10" t="s">
        <v>144</v>
      </c>
      <c r="P151" s="10" t="s">
        <v>372</v>
      </c>
      <c r="Q151" s="10" t="s">
        <v>47</v>
      </c>
      <c r="R151" s="10">
        <v>21707133</v>
      </c>
      <c r="S151" s="10" t="s">
        <v>48</v>
      </c>
      <c r="T151" s="79">
        <v>2</v>
      </c>
    </row>
    <row r="152" spans="13:20" x14ac:dyDescent="0.25">
      <c r="M152" s="77" t="s">
        <v>274</v>
      </c>
      <c r="N152" s="10" t="s">
        <v>328</v>
      </c>
      <c r="O152" s="10" t="s">
        <v>144</v>
      </c>
      <c r="P152" s="10" t="s">
        <v>393</v>
      </c>
      <c r="Q152" s="10" t="s">
        <v>82</v>
      </c>
      <c r="R152" s="10">
        <v>15126069</v>
      </c>
      <c r="S152" s="10" t="s">
        <v>52</v>
      </c>
      <c r="T152" s="79">
        <v>1</v>
      </c>
    </row>
    <row r="153" spans="13:20" x14ac:dyDescent="0.25">
      <c r="M153" s="77" t="s">
        <v>274</v>
      </c>
      <c r="N153" s="10" t="s">
        <v>328</v>
      </c>
      <c r="O153" s="10" t="s">
        <v>144</v>
      </c>
      <c r="P153" s="10" t="s">
        <v>394</v>
      </c>
      <c r="Q153" s="10" t="s">
        <v>82</v>
      </c>
      <c r="R153" s="10">
        <v>11110683</v>
      </c>
      <c r="S153" s="10" t="s">
        <v>342</v>
      </c>
      <c r="T153" s="79">
        <v>1</v>
      </c>
    </row>
    <row r="154" spans="13:20" x14ac:dyDescent="0.25">
      <c r="M154" s="77" t="s">
        <v>274</v>
      </c>
      <c r="N154" s="10" t="s">
        <v>329</v>
      </c>
      <c r="O154" s="10" t="s">
        <v>149</v>
      </c>
      <c r="P154" s="10" t="s">
        <v>395</v>
      </c>
      <c r="Q154" s="10" t="s">
        <v>82</v>
      </c>
      <c r="R154" s="10">
        <v>17457469</v>
      </c>
      <c r="S154" s="10" t="s">
        <v>50</v>
      </c>
      <c r="T154" s="79">
        <v>1</v>
      </c>
    </row>
    <row r="155" spans="13:20" x14ac:dyDescent="0.25">
      <c r="M155" s="77" t="s">
        <v>274</v>
      </c>
      <c r="N155" s="10" t="s">
        <v>329</v>
      </c>
      <c r="O155" s="10" t="s">
        <v>149</v>
      </c>
      <c r="P155" s="10" t="s">
        <v>396</v>
      </c>
      <c r="Q155" s="10" t="s">
        <v>82</v>
      </c>
      <c r="R155" s="10">
        <v>20805349</v>
      </c>
      <c r="S155" s="10" t="s">
        <v>52</v>
      </c>
      <c r="T155" s="79">
        <v>1</v>
      </c>
    </row>
    <row r="156" spans="13:20" x14ac:dyDescent="0.25">
      <c r="M156" s="77" t="s">
        <v>274</v>
      </c>
      <c r="N156" s="10" t="s">
        <v>329</v>
      </c>
      <c r="O156" s="10" t="s">
        <v>149</v>
      </c>
      <c r="P156" s="10" t="s">
        <v>394</v>
      </c>
      <c r="Q156" s="10" t="s">
        <v>82</v>
      </c>
      <c r="R156" s="10">
        <v>11110683</v>
      </c>
      <c r="S156" s="10" t="s">
        <v>342</v>
      </c>
      <c r="T156" s="79">
        <v>1</v>
      </c>
    </row>
    <row r="157" spans="13:20" x14ac:dyDescent="0.25">
      <c r="M157" s="77" t="s">
        <v>274</v>
      </c>
      <c r="N157" s="10" t="s">
        <v>330</v>
      </c>
      <c r="O157" s="10" t="s">
        <v>151</v>
      </c>
      <c r="P157" s="10" t="s">
        <v>395</v>
      </c>
      <c r="Q157" s="10" t="s">
        <v>82</v>
      </c>
      <c r="R157" s="10">
        <v>17457469</v>
      </c>
      <c r="S157" s="10" t="s">
        <v>50</v>
      </c>
      <c r="T157" s="79">
        <v>1</v>
      </c>
    </row>
    <row r="158" spans="13:20" x14ac:dyDescent="0.25">
      <c r="M158" s="77" t="s">
        <v>274</v>
      </c>
      <c r="N158" s="10" t="s">
        <v>330</v>
      </c>
      <c r="O158" s="10" t="s">
        <v>151</v>
      </c>
      <c r="P158" s="10" t="s">
        <v>392</v>
      </c>
      <c r="Q158" s="10" t="s">
        <v>47</v>
      </c>
      <c r="R158" s="10">
        <v>466987</v>
      </c>
      <c r="S158" s="10" t="s">
        <v>61</v>
      </c>
      <c r="T158" s="79">
        <v>1</v>
      </c>
    </row>
    <row r="159" spans="13:20" x14ac:dyDescent="0.25">
      <c r="M159" s="77" t="s">
        <v>274</v>
      </c>
      <c r="N159" s="10" t="s">
        <v>330</v>
      </c>
      <c r="O159" s="10" t="s">
        <v>151</v>
      </c>
      <c r="P159" s="10" t="s">
        <v>397</v>
      </c>
      <c r="Q159" s="10" t="s">
        <v>47</v>
      </c>
      <c r="R159" s="10">
        <v>11110668</v>
      </c>
      <c r="S159" s="10" t="s">
        <v>122</v>
      </c>
      <c r="T159" s="79">
        <v>1</v>
      </c>
    </row>
    <row r="160" spans="13:20" x14ac:dyDescent="0.25">
      <c r="M160" s="77" t="s">
        <v>274</v>
      </c>
      <c r="N160" s="10" t="s">
        <v>331</v>
      </c>
      <c r="O160" s="10" t="s">
        <v>153</v>
      </c>
      <c r="P160" s="10" t="s">
        <v>398</v>
      </c>
      <c r="Q160" s="10" t="s">
        <v>92</v>
      </c>
      <c r="R160" s="10">
        <v>43919927</v>
      </c>
      <c r="S160" s="10" t="s">
        <v>50</v>
      </c>
      <c r="T160" s="79">
        <v>1</v>
      </c>
    </row>
    <row r="161" spans="13:20" x14ac:dyDescent="0.25">
      <c r="M161" s="77" t="s">
        <v>274</v>
      </c>
      <c r="N161" s="10" t="s">
        <v>331</v>
      </c>
      <c r="O161" s="10" t="s">
        <v>153</v>
      </c>
      <c r="P161" s="10" t="s">
        <v>399</v>
      </c>
      <c r="Q161" s="10" t="s">
        <v>92</v>
      </c>
      <c r="R161" s="10">
        <v>43919935</v>
      </c>
      <c r="S161" s="10" t="s">
        <v>52</v>
      </c>
      <c r="T161" s="79">
        <v>1</v>
      </c>
    </row>
    <row r="162" spans="13:20" x14ac:dyDescent="0.25">
      <c r="M162" s="77" t="s">
        <v>274</v>
      </c>
      <c r="N162" s="10" t="s">
        <v>331</v>
      </c>
      <c r="O162" s="10" t="s">
        <v>153</v>
      </c>
      <c r="P162" s="10" t="s">
        <v>400</v>
      </c>
      <c r="Q162" s="10" t="s">
        <v>92</v>
      </c>
      <c r="R162" s="10">
        <v>43919943</v>
      </c>
      <c r="S162" s="10" t="s">
        <v>52</v>
      </c>
      <c r="T162" s="79">
        <v>1</v>
      </c>
    </row>
    <row r="163" spans="13:20" x14ac:dyDescent="0.25">
      <c r="M163" s="77" t="s">
        <v>275</v>
      </c>
      <c r="N163" s="10" t="s">
        <v>360</v>
      </c>
      <c r="O163" s="10" t="s">
        <v>217</v>
      </c>
      <c r="P163" s="10" t="s">
        <v>401</v>
      </c>
      <c r="Q163" s="10" t="s">
        <v>119</v>
      </c>
      <c r="R163" s="10">
        <v>5223273542</v>
      </c>
      <c r="S163" s="10" t="s">
        <v>50</v>
      </c>
      <c r="T163" s="79">
        <v>1</v>
      </c>
    </row>
    <row r="164" spans="13:20" x14ac:dyDescent="0.25">
      <c r="M164" s="77" t="s">
        <v>275</v>
      </c>
      <c r="N164" s="10" t="s">
        <v>360</v>
      </c>
      <c r="O164" s="10" t="s">
        <v>217</v>
      </c>
      <c r="P164" s="10" t="s">
        <v>402</v>
      </c>
      <c r="Q164" s="10" t="s">
        <v>119</v>
      </c>
      <c r="R164" s="10" t="s">
        <v>120</v>
      </c>
      <c r="S164" s="10" t="s">
        <v>58</v>
      </c>
      <c r="T164" s="79">
        <v>1</v>
      </c>
    </row>
    <row r="165" spans="13:20" x14ac:dyDescent="0.25">
      <c r="M165" s="77" t="s">
        <v>275</v>
      </c>
      <c r="N165" s="10" t="s">
        <v>360</v>
      </c>
      <c r="O165" s="10" t="s">
        <v>217</v>
      </c>
      <c r="P165" s="10" t="s">
        <v>403</v>
      </c>
      <c r="Q165" s="10" t="s">
        <v>119</v>
      </c>
      <c r="R165" s="10">
        <v>5222677134</v>
      </c>
      <c r="S165" s="10" t="s">
        <v>63</v>
      </c>
      <c r="T165" s="79">
        <v>1</v>
      </c>
    </row>
    <row r="166" spans="13:20" x14ac:dyDescent="0.25">
      <c r="M166" s="77" t="s">
        <v>272</v>
      </c>
      <c r="N166" s="10" t="s">
        <v>307</v>
      </c>
      <c r="O166" s="10" t="s">
        <v>212</v>
      </c>
      <c r="P166" s="10" t="s">
        <v>404</v>
      </c>
      <c r="Q166" s="10" t="s">
        <v>69</v>
      </c>
      <c r="R166" s="10">
        <v>21939298</v>
      </c>
      <c r="S166" s="10" t="s">
        <v>50</v>
      </c>
      <c r="T166" s="79">
        <v>2</v>
      </c>
    </row>
    <row r="167" spans="13:20" x14ac:dyDescent="0.25">
      <c r="M167" s="77" t="s">
        <v>272</v>
      </c>
      <c r="N167" s="10" t="s">
        <v>307</v>
      </c>
      <c r="O167" s="10" t="s">
        <v>212</v>
      </c>
      <c r="P167" s="10" t="s">
        <v>405</v>
      </c>
      <c r="Q167" s="10" t="s">
        <v>69</v>
      </c>
      <c r="R167" s="10">
        <v>25502421</v>
      </c>
      <c r="S167" s="10" t="s">
        <v>350</v>
      </c>
      <c r="T167" s="79">
        <v>1</v>
      </c>
    </row>
    <row r="168" spans="13:20" x14ac:dyDescent="0.25">
      <c r="M168" s="77" t="s">
        <v>272</v>
      </c>
      <c r="N168" s="10" t="s">
        <v>307</v>
      </c>
      <c r="O168" s="10" t="s">
        <v>212</v>
      </c>
      <c r="P168" s="10" t="s">
        <v>406</v>
      </c>
      <c r="Q168" s="10" t="s">
        <v>68</v>
      </c>
      <c r="R168" s="10">
        <v>2006050</v>
      </c>
      <c r="S168" s="10" t="s">
        <v>351</v>
      </c>
      <c r="T168" s="79">
        <v>1</v>
      </c>
    </row>
    <row r="169" spans="13:20" x14ac:dyDescent="0.25">
      <c r="M169" s="77" t="s">
        <v>272</v>
      </c>
      <c r="N169" s="10" t="s">
        <v>307</v>
      </c>
      <c r="O169" s="10" t="s">
        <v>212</v>
      </c>
      <c r="P169" s="10" t="s">
        <v>407</v>
      </c>
      <c r="Q169" s="74" t="s">
        <v>69</v>
      </c>
      <c r="R169" s="74" t="s">
        <v>72</v>
      </c>
      <c r="S169" s="10" t="s">
        <v>370</v>
      </c>
      <c r="T169" s="79">
        <v>38</v>
      </c>
    </row>
    <row r="170" spans="13:20" x14ac:dyDescent="0.25">
      <c r="M170" s="77" t="s">
        <v>272</v>
      </c>
      <c r="N170" s="10" t="s">
        <v>280</v>
      </c>
      <c r="O170" s="10" t="s">
        <v>67</v>
      </c>
      <c r="P170" s="10" t="s">
        <v>408</v>
      </c>
      <c r="Q170" s="10" t="s">
        <v>69</v>
      </c>
      <c r="R170" s="10">
        <v>21707136</v>
      </c>
      <c r="S170" s="10" t="s">
        <v>50</v>
      </c>
      <c r="T170" s="79">
        <v>2</v>
      </c>
    </row>
    <row r="171" spans="13:20" x14ac:dyDescent="0.25">
      <c r="M171" s="77" t="s">
        <v>272</v>
      </c>
      <c r="N171" s="10" t="s">
        <v>280</v>
      </c>
      <c r="O171" s="10" t="s">
        <v>67</v>
      </c>
      <c r="P171" s="10" t="s">
        <v>409</v>
      </c>
      <c r="Q171" s="10" t="s">
        <v>69</v>
      </c>
      <c r="R171" s="10">
        <v>21707135</v>
      </c>
      <c r="S171" s="10" t="s">
        <v>50</v>
      </c>
      <c r="T171" s="79">
        <v>1</v>
      </c>
    </row>
    <row r="172" spans="13:20" x14ac:dyDescent="0.25">
      <c r="M172" s="77" t="s">
        <v>272</v>
      </c>
      <c r="N172" s="10" t="s">
        <v>280</v>
      </c>
      <c r="O172" s="10" t="s">
        <v>67</v>
      </c>
      <c r="P172" s="10" t="s">
        <v>410</v>
      </c>
      <c r="Q172" s="10" t="s">
        <v>69</v>
      </c>
      <c r="R172" s="10">
        <v>20972295</v>
      </c>
      <c r="S172" s="10" t="s">
        <v>52</v>
      </c>
      <c r="T172" s="79">
        <v>1</v>
      </c>
    </row>
    <row r="173" spans="13:20" x14ac:dyDescent="0.25">
      <c r="M173" s="77" t="s">
        <v>272</v>
      </c>
      <c r="N173" s="10" t="s">
        <v>280</v>
      </c>
      <c r="O173" s="10" t="s">
        <v>67</v>
      </c>
      <c r="P173" s="10" t="s">
        <v>411</v>
      </c>
      <c r="Q173" s="10" t="s">
        <v>69</v>
      </c>
      <c r="R173" s="10" t="s">
        <v>70</v>
      </c>
      <c r="S173" s="10" t="s">
        <v>71</v>
      </c>
      <c r="T173" s="79">
        <v>1</v>
      </c>
    </row>
    <row r="174" spans="13:20" x14ac:dyDescent="0.25">
      <c r="M174" s="77" t="s">
        <v>272</v>
      </c>
      <c r="N174" s="10" t="s">
        <v>280</v>
      </c>
      <c r="O174" s="10" t="s">
        <v>67</v>
      </c>
      <c r="P174" s="10" t="s">
        <v>406</v>
      </c>
      <c r="Q174" s="10" t="s">
        <v>68</v>
      </c>
      <c r="R174" s="10">
        <v>2006050</v>
      </c>
      <c r="S174" s="10" t="s">
        <v>351</v>
      </c>
      <c r="T174" s="79">
        <v>1</v>
      </c>
    </row>
    <row r="175" spans="13:20" x14ac:dyDescent="0.25">
      <c r="M175" s="77" t="s">
        <v>272</v>
      </c>
      <c r="N175" s="10" t="s">
        <v>280</v>
      </c>
      <c r="O175" s="10" t="s">
        <v>67</v>
      </c>
      <c r="P175" s="10" t="s">
        <v>407</v>
      </c>
      <c r="Q175" s="74" t="s">
        <v>69</v>
      </c>
      <c r="R175" s="74" t="s">
        <v>72</v>
      </c>
      <c r="S175" s="10" t="s">
        <v>370</v>
      </c>
      <c r="T175" s="79">
        <v>38</v>
      </c>
    </row>
    <row r="176" spans="13:20" x14ac:dyDescent="0.25">
      <c r="M176" s="77" t="s">
        <v>272</v>
      </c>
      <c r="N176" s="10" t="s">
        <v>292</v>
      </c>
      <c r="O176" s="10" t="s">
        <v>215</v>
      </c>
      <c r="P176" s="10" t="s">
        <v>408</v>
      </c>
      <c r="Q176" s="10" t="s">
        <v>69</v>
      </c>
      <c r="R176" s="10">
        <v>21707136</v>
      </c>
      <c r="S176" s="10" t="s">
        <v>50</v>
      </c>
      <c r="T176" s="79">
        <v>10</v>
      </c>
    </row>
    <row r="177" spans="13:20" x14ac:dyDescent="0.25">
      <c r="M177" s="77" t="s">
        <v>272</v>
      </c>
      <c r="N177" s="10" t="s">
        <v>292</v>
      </c>
      <c r="O177" s="10" t="s">
        <v>215</v>
      </c>
      <c r="P177" s="10" t="s">
        <v>409</v>
      </c>
      <c r="Q177" s="10" t="s">
        <v>69</v>
      </c>
      <c r="R177" s="10">
        <v>21707135</v>
      </c>
      <c r="S177" s="10" t="s">
        <v>50</v>
      </c>
      <c r="T177" s="79">
        <v>5</v>
      </c>
    </row>
    <row r="178" spans="13:20" x14ac:dyDescent="0.25">
      <c r="M178" s="77" t="s">
        <v>272</v>
      </c>
      <c r="N178" s="10" t="s">
        <v>292</v>
      </c>
      <c r="O178" s="10" t="s">
        <v>215</v>
      </c>
      <c r="P178" s="10" t="s">
        <v>410</v>
      </c>
      <c r="Q178" s="10" t="s">
        <v>69</v>
      </c>
      <c r="R178" s="10">
        <v>20972295</v>
      </c>
      <c r="S178" s="10" t="s">
        <v>52</v>
      </c>
      <c r="T178" s="79">
        <v>5</v>
      </c>
    </row>
    <row r="179" spans="13:20" x14ac:dyDescent="0.25">
      <c r="M179" s="77" t="s">
        <v>272</v>
      </c>
      <c r="N179" s="10" t="s">
        <v>292</v>
      </c>
      <c r="O179" s="10" t="s">
        <v>215</v>
      </c>
      <c r="P179" s="10" t="s">
        <v>411</v>
      </c>
      <c r="Q179" s="10" t="s">
        <v>69</v>
      </c>
      <c r="R179" s="10" t="s">
        <v>70</v>
      </c>
      <c r="S179" s="10" t="s">
        <v>71</v>
      </c>
      <c r="T179" s="79">
        <v>5</v>
      </c>
    </row>
    <row r="180" spans="13:20" x14ac:dyDescent="0.25">
      <c r="M180" s="77" t="s">
        <v>272</v>
      </c>
      <c r="N180" s="10" t="s">
        <v>292</v>
      </c>
      <c r="O180" s="10" t="s">
        <v>215</v>
      </c>
      <c r="P180" s="10" t="s">
        <v>406</v>
      </c>
      <c r="Q180" s="10" t="s">
        <v>68</v>
      </c>
      <c r="R180" s="10">
        <v>2006050</v>
      </c>
      <c r="S180" s="10" t="s">
        <v>351</v>
      </c>
      <c r="T180" s="79">
        <v>5</v>
      </c>
    </row>
    <row r="181" spans="13:20" x14ac:dyDescent="0.25">
      <c r="M181" s="78" t="s">
        <v>272</v>
      </c>
      <c r="N181" s="75" t="s">
        <v>292</v>
      </c>
      <c r="O181" s="75" t="s">
        <v>215</v>
      </c>
      <c r="P181" s="75" t="s">
        <v>412</v>
      </c>
      <c r="Q181" s="76" t="s">
        <v>69</v>
      </c>
      <c r="R181" s="76" t="s">
        <v>91</v>
      </c>
      <c r="S181" s="75" t="s">
        <v>371</v>
      </c>
      <c r="T181" s="80">
        <v>208</v>
      </c>
    </row>
    <row r="182" spans="13:20" x14ac:dyDescent="0.25">
      <c r="M182" s="78" t="s">
        <v>271</v>
      </c>
      <c r="N182" s="75" t="s">
        <v>361</v>
      </c>
      <c r="O182" s="75" t="s">
        <v>341</v>
      </c>
      <c r="P182" s="75" t="s">
        <v>408</v>
      </c>
      <c r="Q182" s="75" t="s">
        <v>69</v>
      </c>
      <c r="R182" s="75">
        <v>21707136</v>
      </c>
      <c r="S182" s="75" t="s">
        <v>50</v>
      </c>
      <c r="T182" s="80">
        <v>2</v>
      </c>
    </row>
    <row r="183" spans="13:20" x14ac:dyDescent="0.25">
      <c r="M183" s="78" t="s">
        <v>271</v>
      </c>
      <c r="N183" s="75" t="s">
        <v>361</v>
      </c>
      <c r="O183" s="75" t="s">
        <v>341</v>
      </c>
      <c r="P183" s="75" t="s">
        <v>409</v>
      </c>
      <c r="Q183" s="10" t="s">
        <v>69</v>
      </c>
      <c r="R183" s="10">
        <v>21707135</v>
      </c>
      <c r="S183" s="10" t="s">
        <v>50</v>
      </c>
      <c r="T183" s="79">
        <v>1</v>
      </c>
    </row>
    <row r="184" spans="13:20" x14ac:dyDescent="0.25">
      <c r="M184" s="78" t="s">
        <v>271</v>
      </c>
      <c r="N184" s="75" t="s">
        <v>361</v>
      </c>
      <c r="O184" s="75" t="s">
        <v>341</v>
      </c>
      <c r="P184" s="75" t="s">
        <v>410</v>
      </c>
      <c r="Q184" s="10" t="s">
        <v>69</v>
      </c>
      <c r="R184" s="10">
        <v>20972295</v>
      </c>
      <c r="S184" s="10" t="s">
        <v>52</v>
      </c>
      <c r="T184" s="79">
        <v>1</v>
      </c>
    </row>
    <row r="185" spans="13:20" x14ac:dyDescent="0.25">
      <c r="M185" s="78" t="s">
        <v>271</v>
      </c>
      <c r="N185" s="75" t="s">
        <v>361</v>
      </c>
      <c r="O185" s="75" t="s">
        <v>341</v>
      </c>
      <c r="P185" s="75" t="s">
        <v>411</v>
      </c>
      <c r="Q185" s="10" t="s">
        <v>69</v>
      </c>
      <c r="R185" s="10" t="s">
        <v>70</v>
      </c>
      <c r="S185" s="10" t="s">
        <v>71</v>
      </c>
      <c r="T185" s="79">
        <v>1</v>
      </c>
    </row>
    <row r="186" spans="13:20" x14ac:dyDescent="0.25">
      <c r="M186" s="78" t="s">
        <v>271</v>
      </c>
      <c r="N186" s="75" t="s">
        <v>361</v>
      </c>
      <c r="O186" s="75" t="s">
        <v>341</v>
      </c>
      <c r="P186" s="75" t="s">
        <v>406</v>
      </c>
      <c r="Q186" s="10" t="s">
        <v>68</v>
      </c>
      <c r="R186" s="10">
        <v>2006050</v>
      </c>
      <c r="S186" s="10" t="s">
        <v>351</v>
      </c>
      <c r="T186" s="79">
        <v>1</v>
      </c>
    </row>
    <row r="187" spans="13:20" x14ac:dyDescent="0.25">
      <c r="M187" s="77" t="s">
        <v>276</v>
      </c>
      <c r="N187" s="10" t="s">
        <v>287</v>
      </c>
      <c r="O187" s="10" t="s">
        <v>204</v>
      </c>
      <c r="P187" s="10" t="s">
        <v>413</v>
      </c>
      <c r="Q187" s="10" t="s">
        <v>47</v>
      </c>
      <c r="R187" s="10">
        <v>3831236</v>
      </c>
      <c r="S187" s="10" t="s">
        <v>50</v>
      </c>
      <c r="T187" s="79">
        <v>1</v>
      </c>
    </row>
    <row r="188" spans="13:20" x14ac:dyDescent="0.25">
      <c r="M188" s="77" t="s">
        <v>276</v>
      </c>
      <c r="N188" s="10" t="s">
        <v>287</v>
      </c>
      <c r="O188" s="10" t="s">
        <v>204</v>
      </c>
      <c r="P188" s="10" t="s">
        <v>414</v>
      </c>
      <c r="Q188" s="10" t="s">
        <v>47</v>
      </c>
      <c r="R188" s="10">
        <v>3838852</v>
      </c>
      <c r="S188" s="10" t="s">
        <v>128</v>
      </c>
      <c r="T188" s="79">
        <v>1</v>
      </c>
    </row>
    <row r="189" spans="13:20" x14ac:dyDescent="0.25">
      <c r="M189" s="77" t="s">
        <v>276</v>
      </c>
      <c r="N189" s="10" t="s">
        <v>287</v>
      </c>
      <c r="O189" s="10" t="s">
        <v>204</v>
      </c>
      <c r="P189" s="10" t="s">
        <v>390</v>
      </c>
      <c r="Q189" s="74" t="s">
        <v>47</v>
      </c>
      <c r="R189" s="74">
        <v>23068344</v>
      </c>
      <c r="S189" s="10" t="s">
        <v>59</v>
      </c>
      <c r="T189" s="79">
        <v>19</v>
      </c>
    </row>
    <row r="190" spans="13:20" x14ac:dyDescent="0.25">
      <c r="M190" s="77" t="s">
        <v>276</v>
      </c>
      <c r="N190" s="10" t="s">
        <v>287</v>
      </c>
      <c r="O190" s="10" t="s">
        <v>204</v>
      </c>
      <c r="P190" s="10" t="s">
        <v>376</v>
      </c>
      <c r="Q190" s="10" t="s">
        <v>1</v>
      </c>
      <c r="R190" s="10">
        <v>20002050</v>
      </c>
      <c r="S190" s="10" t="s">
        <v>136</v>
      </c>
      <c r="T190" s="79">
        <v>1</v>
      </c>
    </row>
    <row r="191" spans="13:20" x14ac:dyDescent="0.25">
      <c r="M191" s="77" t="s">
        <v>276</v>
      </c>
      <c r="N191" s="10" t="s">
        <v>287</v>
      </c>
      <c r="O191" s="10" t="s">
        <v>204</v>
      </c>
      <c r="P191" s="10" t="s">
        <v>415</v>
      </c>
      <c r="Q191" s="10" t="s">
        <v>125</v>
      </c>
      <c r="R191" s="10">
        <v>21492771</v>
      </c>
      <c r="S191" s="10" t="s">
        <v>52</v>
      </c>
      <c r="T191" s="79">
        <v>1</v>
      </c>
    </row>
    <row r="192" spans="13:20" x14ac:dyDescent="0.25">
      <c r="M192" s="77" t="s">
        <v>276</v>
      </c>
      <c r="N192" s="75" t="s">
        <v>323</v>
      </c>
      <c r="O192" s="75" t="s">
        <v>207</v>
      </c>
      <c r="P192" s="75" t="s">
        <v>372</v>
      </c>
      <c r="Q192" s="75" t="s">
        <v>47</v>
      </c>
      <c r="R192" s="75">
        <v>21707133</v>
      </c>
      <c r="S192" s="75" t="s">
        <v>48</v>
      </c>
      <c r="T192" s="80">
        <v>2</v>
      </c>
    </row>
    <row r="193" spans="13:20" x14ac:dyDescent="0.25">
      <c r="M193" s="77" t="s">
        <v>276</v>
      </c>
      <c r="N193" s="75" t="s">
        <v>323</v>
      </c>
      <c r="O193" s="75" t="s">
        <v>362</v>
      </c>
      <c r="P193" s="75" t="s">
        <v>373</v>
      </c>
      <c r="Q193" s="10" t="s">
        <v>47</v>
      </c>
      <c r="R193" s="10">
        <v>21707132</v>
      </c>
      <c r="S193" s="10" t="s">
        <v>50</v>
      </c>
      <c r="T193" s="79">
        <v>1</v>
      </c>
    </row>
    <row r="194" spans="13:20" x14ac:dyDescent="0.25">
      <c r="M194" s="77" t="s">
        <v>276</v>
      </c>
      <c r="N194" s="75" t="s">
        <v>323</v>
      </c>
      <c r="O194" s="75" t="s">
        <v>362</v>
      </c>
      <c r="P194" s="75" t="s">
        <v>389</v>
      </c>
      <c r="Q194" s="10" t="s">
        <v>47</v>
      </c>
      <c r="R194" s="10">
        <v>23068343</v>
      </c>
      <c r="S194" s="10" t="s">
        <v>344</v>
      </c>
      <c r="T194" s="79">
        <v>3</v>
      </c>
    </row>
    <row r="195" spans="13:20" x14ac:dyDescent="0.25">
      <c r="M195" s="77" t="s">
        <v>276</v>
      </c>
      <c r="N195" s="75" t="s">
        <v>323</v>
      </c>
      <c r="O195" s="75" t="s">
        <v>362</v>
      </c>
      <c r="P195" s="75" t="s">
        <v>414</v>
      </c>
      <c r="Q195" s="10" t="s">
        <v>47</v>
      </c>
      <c r="R195" s="10">
        <v>3838852</v>
      </c>
      <c r="S195" s="10" t="s">
        <v>128</v>
      </c>
      <c r="T195" s="79">
        <v>2</v>
      </c>
    </row>
    <row r="196" spans="13:20" x14ac:dyDescent="0.25">
      <c r="M196" s="77" t="s">
        <v>276</v>
      </c>
      <c r="N196" s="75" t="s">
        <v>323</v>
      </c>
      <c r="O196" s="75" t="s">
        <v>362</v>
      </c>
      <c r="P196" s="75" t="s">
        <v>390</v>
      </c>
      <c r="Q196" s="74" t="s">
        <v>47</v>
      </c>
      <c r="R196" s="74">
        <v>23068344</v>
      </c>
      <c r="S196" s="10" t="s">
        <v>59</v>
      </c>
      <c r="T196" s="79">
        <v>38</v>
      </c>
    </row>
    <row r="197" spans="13:20" x14ac:dyDescent="0.25">
      <c r="M197" s="77" t="s">
        <v>276</v>
      </c>
      <c r="N197" s="75" t="s">
        <v>323</v>
      </c>
      <c r="O197" s="75" t="s">
        <v>362</v>
      </c>
      <c r="P197" s="75" t="s">
        <v>376</v>
      </c>
      <c r="Q197" s="10" t="s">
        <v>1</v>
      </c>
      <c r="R197" s="10">
        <v>20002050</v>
      </c>
      <c r="S197" s="10" t="s">
        <v>136</v>
      </c>
      <c r="T197" s="79">
        <v>1</v>
      </c>
    </row>
    <row r="198" spans="13:20" x14ac:dyDescent="0.25">
      <c r="M198" s="77" t="s">
        <v>276</v>
      </c>
      <c r="N198" s="75" t="s">
        <v>320</v>
      </c>
      <c r="O198" s="75" t="s">
        <v>363</v>
      </c>
      <c r="P198" s="75" t="s">
        <v>372</v>
      </c>
      <c r="Q198" s="75" t="s">
        <v>47</v>
      </c>
      <c r="R198" s="75">
        <v>21707133</v>
      </c>
      <c r="S198" s="75" t="s">
        <v>48</v>
      </c>
      <c r="T198" s="80">
        <v>2</v>
      </c>
    </row>
    <row r="199" spans="13:20" x14ac:dyDescent="0.25">
      <c r="M199" s="77" t="s">
        <v>276</v>
      </c>
      <c r="N199" s="75" t="s">
        <v>320</v>
      </c>
      <c r="O199" s="75" t="s">
        <v>363</v>
      </c>
      <c r="P199" s="75" t="s">
        <v>373</v>
      </c>
      <c r="Q199" s="75" t="s">
        <v>47</v>
      </c>
      <c r="R199" s="75">
        <v>21707132</v>
      </c>
      <c r="S199" s="75" t="s">
        <v>50</v>
      </c>
      <c r="T199" s="80">
        <v>1</v>
      </c>
    </row>
    <row r="200" spans="13:20" x14ac:dyDescent="0.25">
      <c r="M200" s="77" t="s">
        <v>276</v>
      </c>
      <c r="N200" s="75" t="s">
        <v>320</v>
      </c>
      <c r="O200" s="75" t="s">
        <v>363</v>
      </c>
      <c r="P200" s="75" t="s">
        <v>416</v>
      </c>
      <c r="Q200" s="75" t="s">
        <v>125</v>
      </c>
      <c r="R200" s="75">
        <v>3838854</v>
      </c>
      <c r="S200" s="75" t="s">
        <v>126</v>
      </c>
      <c r="T200" s="80">
        <v>2</v>
      </c>
    </row>
    <row r="201" spans="13:20" x14ac:dyDescent="0.25">
      <c r="M201" s="77" t="s">
        <v>276</v>
      </c>
      <c r="N201" s="75" t="s">
        <v>320</v>
      </c>
      <c r="O201" s="75" t="s">
        <v>363</v>
      </c>
      <c r="P201" s="75" t="s">
        <v>414</v>
      </c>
      <c r="Q201" s="75" t="s">
        <v>47</v>
      </c>
      <c r="R201" s="75">
        <v>3838852</v>
      </c>
      <c r="S201" s="75" t="s">
        <v>128</v>
      </c>
      <c r="T201" s="80">
        <v>2</v>
      </c>
    </row>
    <row r="202" spans="13:20" x14ac:dyDescent="0.25">
      <c r="M202" s="77" t="s">
        <v>276</v>
      </c>
      <c r="N202" s="75" t="s">
        <v>320</v>
      </c>
      <c r="O202" s="75" t="s">
        <v>363</v>
      </c>
      <c r="P202" s="75" t="s">
        <v>390</v>
      </c>
      <c r="Q202" s="76" t="s">
        <v>47</v>
      </c>
      <c r="R202" s="76">
        <v>23068344</v>
      </c>
      <c r="S202" s="10" t="s">
        <v>59</v>
      </c>
      <c r="T202" s="80">
        <v>57</v>
      </c>
    </row>
    <row r="203" spans="13:20" x14ac:dyDescent="0.25">
      <c r="M203" s="78" t="s">
        <v>276</v>
      </c>
      <c r="N203" s="75" t="s">
        <v>320</v>
      </c>
      <c r="O203" s="75" t="s">
        <v>363</v>
      </c>
      <c r="P203" s="75" t="s">
        <v>376</v>
      </c>
      <c r="Q203" s="75" t="s">
        <v>1</v>
      </c>
      <c r="R203" s="75">
        <v>20002050</v>
      </c>
      <c r="S203" s="75" t="s">
        <v>136</v>
      </c>
      <c r="T203" s="80">
        <v>1</v>
      </c>
    </row>
    <row r="204" spans="13:20" x14ac:dyDescent="0.25">
      <c r="S204" s="15"/>
      <c r="T204" s="15"/>
    </row>
    <row r="205" spans="13:20" x14ac:dyDescent="0.25">
      <c r="S205" s="15"/>
      <c r="T205" s="15"/>
    </row>
    <row r="206" spans="13:20" x14ac:dyDescent="0.25">
      <c r="S206" s="15"/>
      <c r="T206" s="15"/>
    </row>
    <row r="207" spans="13:20" x14ac:dyDescent="0.25">
      <c r="S207" s="15"/>
      <c r="T207" s="15"/>
    </row>
  </sheetData>
  <phoneticPr fontId="6" type="noConversion"/>
  <conditionalFormatting sqref="A1:A1048576 B2 D2:G2">
    <cfRule type="cellIs" dxfId="480" priority="9" operator="equal">
      <formula>"PE7"</formula>
    </cfRule>
    <cfRule type="cellIs" dxfId="479" priority="10" operator="equal">
      <formula>"PE6"</formula>
    </cfRule>
    <cfRule type="cellIs" dxfId="478" priority="11" operator="equal">
      <formula>"PE4"</formula>
    </cfRule>
    <cfRule type="cellIs" dxfId="477" priority="12" operator="equal">
      <formula>"PE2"</formula>
    </cfRule>
    <cfRule type="cellIs" dxfId="476" priority="13" operator="equal">
      <formula>"PE1"</formula>
    </cfRule>
  </conditionalFormatting>
  <pageMargins left="0.7" right="0.7" top="0.75" bottom="0.75" header="0.3" footer="0.3"/>
  <pageSetup paperSize="9" orientation="portrait" horizontalDpi="4294967292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7"/>
  <sheetViews>
    <sheetView workbookViewId="0">
      <selection activeCell="C14" sqref="C14"/>
    </sheetView>
  </sheetViews>
  <sheetFormatPr baseColWidth="10" defaultColWidth="8.88671875" defaultRowHeight="14.4" x14ac:dyDescent="0.3"/>
  <cols>
    <col min="2" max="2" width="22" customWidth="1"/>
  </cols>
  <sheetData>
    <row r="1" spans="1:7" ht="31.8" thickBot="1" x14ac:dyDescent="0.35">
      <c r="A1" s="87" t="s">
        <v>418</v>
      </c>
      <c r="B1" s="87" t="s">
        <v>279</v>
      </c>
      <c r="C1" s="87" t="s">
        <v>419</v>
      </c>
      <c r="D1" s="87" t="s">
        <v>420</v>
      </c>
      <c r="E1" s="87" t="s">
        <v>332</v>
      </c>
      <c r="F1" s="87" t="s">
        <v>338</v>
      </c>
      <c r="G1" s="87" t="s">
        <v>333</v>
      </c>
    </row>
    <row r="2" spans="1:7" ht="16.2" thickBot="1" x14ac:dyDescent="0.35">
      <c r="A2" s="88">
        <v>1</v>
      </c>
      <c r="B2" s="88" t="s">
        <v>281</v>
      </c>
      <c r="C2" s="88" t="s">
        <v>1</v>
      </c>
      <c r="D2" s="88">
        <v>20002051</v>
      </c>
      <c r="E2" s="88">
        <v>72</v>
      </c>
      <c r="F2" s="88">
        <v>1</v>
      </c>
      <c r="G2" s="88">
        <v>71870</v>
      </c>
    </row>
    <row r="3" spans="1:7" ht="16.2" thickBot="1" x14ac:dyDescent="0.35">
      <c r="A3" s="88">
        <v>2</v>
      </c>
      <c r="B3" s="88" t="s">
        <v>281</v>
      </c>
      <c r="C3" s="88" t="s">
        <v>1</v>
      </c>
      <c r="D3" s="88">
        <v>20002051</v>
      </c>
      <c r="E3" s="88">
        <v>72</v>
      </c>
      <c r="F3" s="88">
        <v>1</v>
      </c>
      <c r="G3" s="88">
        <v>71872</v>
      </c>
    </row>
    <row r="4" spans="1:7" ht="16.2" thickBot="1" x14ac:dyDescent="0.35">
      <c r="A4" s="88">
        <v>3</v>
      </c>
      <c r="B4" s="88" t="s">
        <v>281</v>
      </c>
      <c r="C4" s="88" t="s">
        <v>1</v>
      </c>
      <c r="D4" s="88">
        <v>20002051</v>
      </c>
      <c r="E4" s="88">
        <v>72</v>
      </c>
      <c r="F4" s="88">
        <v>1</v>
      </c>
      <c r="G4" s="88">
        <v>71873</v>
      </c>
    </row>
    <row r="5" spans="1:7" ht="16.2" thickBot="1" x14ac:dyDescent="0.35">
      <c r="A5" s="88">
        <v>4</v>
      </c>
      <c r="B5" s="88" t="s">
        <v>281</v>
      </c>
      <c r="C5" s="88" t="s">
        <v>1</v>
      </c>
      <c r="D5" s="88">
        <v>20002051</v>
      </c>
      <c r="E5" s="88">
        <v>24</v>
      </c>
      <c r="F5" s="88">
        <v>1</v>
      </c>
      <c r="G5" s="88">
        <v>71874</v>
      </c>
    </row>
    <row r="6" spans="1:7" ht="16.2" thickBot="1" x14ac:dyDescent="0.35">
      <c r="A6" s="88">
        <v>5</v>
      </c>
      <c r="B6" s="88" t="s">
        <v>268</v>
      </c>
      <c r="C6" s="88" t="s">
        <v>1</v>
      </c>
      <c r="D6" s="88">
        <v>20001973</v>
      </c>
      <c r="E6" s="88">
        <v>48</v>
      </c>
      <c r="F6" s="88">
        <v>2</v>
      </c>
      <c r="G6" s="89">
        <v>71875</v>
      </c>
    </row>
    <row r="7" spans="1:7" ht="16.2" thickBot="1" x14ac:dyDescent="0.35">
      <c r="A7" s="88">
        <v>6</v>
      </c>
      <c r="B7" s="88" t="s">
        <v>268</v>
      </c>
      <c r="C7" s="88" t="s">
        <v>1</v>
      </c>
      <c r="D7" s="88">
        <v>20001973</v>
      </c>
      <c r="E7" s="88">
        <v>12</v>
      </c>
      <c r="F7" s="88">
        <v>2</v>
      </c>
      <c r="G7" s="89">
        <v>71876</v>
      </c>
    </row>
    <row r="8" spans="1:7" ht="16.2" thickBot="1" x14ac:dyDescent="0.35">
      <c r="A8" s="88">
        <v>7</v>
      </c>
      <c r="B8" s="88" t="s">
        <v>282</v>
      </c>
      <c r="C8" s="88" t="s">
        <v>1</v>
      </c>
      <c r="D8" s="88">
        <v>20002055</v>
      </c>
      <c r="E8" s="88">
        <v>24</v>
      </c>
      <c r="F8" s="88">
        <v>3</v>
      </c>
      <c r="G8" s="88">
        <v>71877</v>
      </c>
    </row>
    <row r="9" spans="1:7" ht="16.2" thickBot="1" x14ac:dyDescent="0.35">
      <c r="A9" s="88">
        <v>8</v>
      </c>
      <c r="B9" s="88" t="s">
        <v>286</v>
      </c>
      <c r="C9" s="88" t="s">
        <v>1</v>
      </c>
      <c r="D9" s="88">
        <v>20002063</v>
      </c>
      <c r="E9" s="88">
        <v>24</v>
      </c>
      <c r="F9" s="88">
        <v>4</v>
      </c>
      <c r="G9" s="88">
        <v>71878</v>
      </c>
    </row>
    <row r="10" spans="1:7" ht="16.2" thickBot="1" x14ac:dyDescent="0.35">
      <c r="A10" s="88">
        <v>9</v>
      </c>
      <c r="B10" s="88" t="s">
        <v>283</v>
      </c>
      <c r="C10" s="88" t="s">
        <v>1</v>
      </c>
      <c r="D10" s="88">
        <v>20002065</v>
      </c>
      <c r="E10" s="88">
        <v>24</v>
      </c>
      <c r="F10" s="88">
        <v>5</v>
      </c>
      <c r="G10" s="88">
        <v>71879</v>
      </c>
    </row>
    <row r="11" spans="1:7" ht="16.2" thickBot="1" x14ac:dyDescent="0.35">
      <c r="A11" s="88">
        <v>10</v>
      </c>
      <c r="B11" s="88" t="s">
        <v>352</v>
      </c>
      <c r="C11" s="88" t="s">
        <v>1</v>
      </c>
      <c r="D11" s="88">
        <v>20001971</v>
      </c>
      <c r="E11" s="88">
        <v>24</v>
      </c>
      <c r="F11" s="88">
        <v>6</v>
      </c>
      <c r="G11" s="88">
        <v>71880</v>
      </c>
    </row>
    <row r="12" spans="1:7" ht="16.2" thickBot="1" x14ac:dyDescent="0.35">
      <c r="A12" s="88">
        <v>11</v>
      </c>
      <c r="B12" s="88" t="s">
        <v>356</v>
      </c>
      <c r="C12" s="88" t="s">
        <v>1</v>
      </c>
      <c r="D12" s="88">
        <v>20002044</v>
      </c>
      <c r="E12" s="88">
        <v>24</v>
      </c>
      <c r="F12" s="88">
        <v>7</v>
      </c>
      <c r="G12" s="89">
        <v>71881</v>
      </c>
    </row>
    <row r="13" spans="1:7" ht="16.2" thickBot="1" x14ac:dyDescent="0.35">
      <c r="A13" s="88">
        <v>12</v>
      </c>
      <c r="B13" s="88" t="s">
        <v>280</v>
      </c>
      <c r="C13" s="88" t="s">
        <v>68</v>
      </c>
      <c r="D13" s="88">
        <v>20006186</v>
      </c>
      <c r="E13" s="88">
        <v>24</v>
      </c>
      <c r="F13" s="88">
        <v>8</v>
      </c>
      <c r="G13" s="88">
        <v>71882</v>
      </c>
    </row>
    <row r="14" spans="1:7" ht="16.2" thickBot="1" x14ac:dyDescent="0.35">
      <c r="A14" s="88">
        <v>13</v>
      </c>
      <c r="B14" s="88" t="s">
        <v>267</v>
      </c>
      <c r="C14" s="88" t="s">
        <v>81</v>
      </c>
      <c r="D14" s="88">
        <v>20001264</v>
      </c>
      <c r="E14" s="88">
        <v>18</v>
      </c>
      <c r="F14" s="88">
        <v>9</v>
      </c>
      <c r="G14" s="88">
        <v>71883</v>
      </c>
    </row>
    <row r="15" spans="1:7" ht="16.2" thickBot="1" x14ac:dyDescent="0.35">
      <c r="A15" s="88">
        <v>14</v>
      </c>
      <c r="B15" s="88" t="s">
        <v>285</v>
      </c>
      <c r="C15" s="88" t="s">
        <v>1</v>
      </c>
      <c r="D15" s="88">
        <v>20002067</v>
      </c>
      <c r="E15" s="88">
        <v>6</v>
      </c>
      <c r="F15" s="88">
        <v>10</v>
      </c>
      <c r="G15" s="88">
        <v>71884</v>
      </c>
    </row>
    <row r="16" spans="1:7" ht="16.2" thickBot="1" x14ac:dyDescent="0.35">
      <c r="A16" s="88">
        <v>15</v>
      </c>
      <c r="B16" s="88" t="s">
        <v>328</v>
      </c>
      <c r="C16" s="88" t="s">
        <v>81</v>
      </c>
      <c r="D16" s="88">
        <v>20001229</v>
      </c>
      <c r="E16" s="88">
        <v>6</v>
      </c>
      <c r="F16" s="88">
        <v>11</v>
      </c>
      <c r="G16" s="88">
        <v>71885</v>
      </c>
    </row>
    <row r="17" spans="1:7" ht="16.2" thickBot="1" x14ac:dyDescent="0.35">
      <c r="A17" s="88">
        <v>16</v>
      </c>
      <c r="B17" s="88" t="s">
        <v>361</v>
      </c>
      <c r="C17" s="88" t="s">
        <v>68</v>
      </c>
      <c r="D17" s="88">
        <v>20001971</v>
      </c>
      <c r="E17" s="88">
        <v>24</v>
      </c>
      <c r="F17" s="88">
        <v>12</v>
      </c>
      <c r="G17" s="88">
        <v>71886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CB60"/>
  <sheetViews>
    <sheetView showGridLines="0" tabSelected="1" topLeftCell="A2" zoomScale="70" zoomScaleNormal="70" workbookViewId="0">
      <selection activeCell="D25" sqref="D25"/>
    </sheetView>
  </sheetViews>
  <sheetFormatPr baseColWidth="10" defaultColWidth="11.44140625" defaultRowHeight="14.4" x14ac:dyDescent="0.3"/>
  <cols>
    <col min="1" max="1" width="15" style="15" bestFit="1" customWidth="1"/>
    <col min="2" max="2" width="13.88671875" style="15" bestFit="1" customWidth="1"/>
    <col min="3" max="3" width="16.44140625" style="15" bestFit="1" customWidth="1"/>
    <col min="4" max="4" width="16.44140625" style="15" customWidth="1"/>
    <col min="5" max="5" width="15" style="15" bestFit="1" customWidth="1"/>
    <col min="6" max="6" width="18.5546875" style="15" bestFit="1" customWidth="1"/>
    <col min="7" max="7" width="16.33203125" style="15" bestFit="1" customWidth="1"/>
    <col min="8" max="8" width="25.44140625" style="15" bestFit="1" customWidth="1"/>
    <col min="9" max="9" width="15.33203125" style="15" bestFit="1" customWidth="1"/>
    <col min="10" max="10" width="16.33203125" style="15" bestFit="1" customWidth="1"/>
    <col min="11" max="11" width="16.6640625" style="15" bestFit="1" customWidth="1"/>
    <col min="12" max="13" width="17.33203125" style="15" bestFit="1" customWidth="1"/>
    <col min="14" max="14" width="23.88671875" style="15" bestFit="1" customWidth="1"/>
    <col min="15" max="15" width="17.88671875" style="15" bestFit="1" customWidth="1"/>
    <col min="16" max="16" width="17.6640625" style="15" bestFit="1" customWidth="1"/>
    <col min="17" max="17" width="17.44140625" style="15" bestFit="1" customWidth="1"/>
    <col min="18" max="19" width="17.6640625" style="15" bestFit="1" customWidth="1"/>
    <col min="20" max="20" width="29.5546875" style="15" bestFit="1" customWidth="1"/>
    <col min="21" max="21" width="18.33203125" style="15" bestFit="1" customWidth="1"/>
    <col min="22" max="22" width="18.109375" style="15" bestFit="1" customWidth="1"/>
    <col min="23" max="23" width="17.88671875" style="15" bestFit="1" customWidth="1"/>
    <col min="24" max="25" width="17.6640625" style="15" bestFit="1" customWidth="1"/>
    <col min="26" max="26" width="33.44140625" style="15" bestFit="1" customWidth="1"/>
    <col min="27" max="27" width="18.33203125" style="15" bestFit="1" customWidth="1"/>
    <col min="28" max="28" width="18.109375" style="15" bestFit="1" customWidth="1"/>
    <col min="29" max="29" width="17.88671875" style="15" bestFit="1" customWidth="1"/>
    <col min="30" max="31" width="17.6640625" style="15" bestFit="1" customWidth="1"/>
    <col min="32" max="32" width="32" style="15" bestFit="1" customWidth="1"/>
    <col min="33" max="33" width="18.33203125" style="15" bestFit="1" customWidth="1"/>
    <col min="34" max="34" width="18.109375" style="15" bestFit="1" customWidth="1"/>
    <col min="35" max="35" width="17.88671875" style="15" bestFit="1" customWidth="1"/>
    <col min="36" max="37" width="17.6640625" style="15" bestFit="1" customWidth="1"/>
    <col min="38" max="38" width="28.6640625" style="15" bestFit="1" customWidth="1"/>
    <col min="39" max="39" width="18.33203125" style="15" bestFit="1" customWidth="1"/>
    <col min="40" max="40" width="18.109375" style="15" bestFit="1" customWidth="1"/>
    <col min="41" max="41" width="17.88671875" style="15" bestFit="1" customWidth="1"/>
    <col min="42" max="42" width="17.6640625" style="15" bestFit="1" customWidth="1"/>
    <col min="43" max="43" width="18.33203125" style="15" bestFit="1" customWidth="1"/>
    <col min="44" max="44" width="28.109375" style="15" bestFit="1" customWidth="1"/>
    <col min="45" max="45" width="18.33203125" style="15" bestFit="1" customWidth="1"/>
    <col min="46" max="46" width="18.109375" style="15" bestFit="1" customWidth="1"/>
    <col min="47" max="47" width="17.88671875" style="15" bestFit="1" customWidth="1"/>
    <col min="48" max="48" width="17.6640625" style="15" bestFit="1" customWidth="1"/>
    <col min="49" max="49" width="18.33203125" style="15" bestFit="1" customWidth="1"/>
    <col min="50" max="50" width="28.109375" style="15" bestFit="1" customWidth="1"/>
    <col min="51" max="51" width="18.33203125" style="15" bestFit="1" customWidth="1"/>
    <col min="52" max="52" width="18.109375" style="15" bestFit="1" customWidth="1"/>
    <col min="53" max="53" width="17.88671875" style="15" bestFit="1" customWidth="1"/>
    <col min="54" max="55" width="17.6640625" style="15" bestFit="1" customWidth="1"/>
    <col min="56" max="56" width="18.6640625" style="15" bestFit="1" customWidth="1"/>
    <col min="57" max="57" width="18.33203125" style="15" bestFit="1" customWidth="1"/>
    <col min="58" max="58" width="18.109375" style="15" bestFit="1" customWidth="1"/>
    <col min="59" max="59" width="17.88671875" style="15" bestFit="1" customWidth="1"/>
    <col min="60" max="60" width="18.33203125" style="15" bestFit="1" customWidth="1"/>
    <col min="61" max="61" width="11.109375" style="15" bestFit="1" customWidth="1"/>
    <col min="62" max="62" width="13.44140625" style="15" bestFit="1" customWidth="1"/>
    <col min="63" max="66" width="11.44140625" style="15"/>
    <col min="67" max="67" width="7.33203125" style="15" bestFit="1" customWidth="1"/>
    <col min="68" max="68" width="14.109375" style="15" bestFit="1" customWidth="1"/>
    <col min="69" max="69" width="18.33203125" style="15" customWidth="1"/>
    <col min="70" max="70" width="13" style="15" bestFit="1" customWidth="1"/>
    <col min="71" max="71" width="11.109375" style="15" customWidth="1"/>
    <col min="72" max="72" width="12.77734375" style="15" bestFit="1" customWidth="1"/>
    <col min="73" max="73" width="11.6640625" style="15" customWidth="1"/>
    <col min="74" max="75" width="11.44140625" style="15"/>
    <col min="76" max="76" width="12.44140625" style="15" bestFit="1" customWidth="1"/>
    <col min="77" max="77" width="16.77734375" style="15" bestFit="1" customWidth="1"/>
    <col min="78" max="79" width="11.109375" style="15" customWidth="1"/>
    <col min="80" max="16384" width="11.44140625" style="15"/>
  </cols>
  <sheetData>
    <row r="1" spans="1:80" hidden="1" x14ac:dyDescent="0.3">
      <c r="F1" s="15">
        <v>3</v>
      </c>
      <c r="G1" s="15">
        <v>4</v>
      </c>
      <c r="H1" s="15">
        <v>5</v>
      </c>
      <c r="I1" s="15">
        <v>6</v>
      </c>
      <c r="J1" s="15">
        <v>7</v>
      </c>
      <c r="K1" s="15">
        <v>8</v>
      </c>
      <c r="L1" s="15">
        <v>9</v>
      </c>
      <c r="M1" s="15">
        <v>10</v>
      </c>
      <c r="N1" s="15">
        <v>11</v>
      </c>
      <c r="O1" s="15">
        <v>12</v>
      </c>
      <c r="P1" s="15">
        <v>13</v>
      </c>
      <c r="Q1" s="15">
        <v>14</v>
      </c>
      <c r="R1" s="15">
        <v>15</v>
      </c>
      <c r="S1" s="15">
        <v>16</v>
      </c>
      <c r="T1" s="15">
        <v>17</v>
      </c>
      <c r="U1" s="15">
        <v>18</v>
      </c>
      <c r="V1" s="15">
        <v>19</v>
      </c>
      <c r="W1" s="15">
        <v>20</v>
      </c>
      <c r="X1" s="15">
        <v>21</v>
      </c>
      <c r="Y1" s="15">
        <v>22</v>
      </c>
      <c r="Z1" s="15">
        <v>23</v>
      </c>
      <c r="AA1" s="15">
        <v>24</v>
      </c>
      <c r="AB1" s="15">
        <v>25</v>
      </c>
      <c r="AC1" s="15">
        <v>26</v>
      </c>
      <c r="AD1" s="15">
        <v>27</v>
      </c>
      <c r="AE1" s="15">
        <v>28</v>
      </c>
      <c r="AF1" s="15">
        <v>29</v>
      </c>
      <c r="AG1" s="15">
        <v>30</v>
      </c>
      <c r="AH1" s="15">
        <v>31</v>
      </c>
      <c r="AI1" s="15">
        <v>32</v>
      </c>
      <c r="AJ1" s="15">
        <v>33</v>
      </c>
      <c r="AK1" s="15">
        <v>34</v>
      </c>
      <c r="AL1" s="15">
        <v>35</v>
      </c>
      <c r="AM1" s="15">
        <v>36</v>
      </c>
      <c r="AN1" s="15">
        <v>37</v>
      </c>
      <c r="AO1" s="15">
        <v>38</v>
      </c>
      <c r="AP1" s="15">
        <v>39</v>
      </c>
      <c r="AQ1" s="15">
        <v>40</v>
      </c>
      <c r="AR1" s="15">
        <v>41</v>
      </c>
      <c r="AS1" s="15">
        <v>42</v>
      </c>
      <c r="AT1" s="15">
        <v>43</v>
      </c>
      <c r="AU1" s="15">
        <v>44</v>
      </c>
      <c r="AV1" s="15">
        <v>45</v>
      </c>
      <c r="AW1" s="15">
        <v>46</v>
      </c>
      <c r="AX1" s="15">
        <v>47</v>
      </c>
      <c r="AY1" s="15">
        <v>48</v>
      </c>
      <c r="AZ1" s="15">
        <v>49</v>
      </c>
      <c r="BA1" s="15">
        <v>50</v>
      </c>
      <c r="BB1" s="15">
        <v>51</v>
      </c>
      <c r="BC1" s="15">
        <v>52</v>
      </c>
      <c r="BD1" s="15">
        <v>53</v>
      </c>
      <c r="BE1" s="15">
        <v>54</v>
      </c>
      <c r="BF1" s="15">
        <v>55</v>
      </c>
      <c r="BG1" s="15">
        <v>56</v>
      </c>
      <c r="BH1" s="15">
        <v>57</v>
      </c>
      <c r="BI1" s="15">
        <v>58</v>
      </c>
      <c r="BJ1" s="15">
        <v>59</v>
      </c>
    </row>
    <row r="2" spans="1:80" ht="15" customHeight="1" x14ac:dyDescent="0.3">
      <c r="A2" s="18" t="s">
        <v>279</v>
      </c>
      <c r="B2" s="11" t="s">
        <v>333</v>
      </c>
      <c r="C2" s="11" t="s">
        <v>332</v>
      </c>
      <c r="D2" s="11" t="s">
        <v>338</v>
      </c>
      <c r="E2" s="26" t="s">
        <v>334</v>
      </c>
      <c r="F2" s="19" t="s">
        <v>83</v>
      </c>
      <c r="G2" s="19" t="s">
        <v>55</v>
      </c>
      <c r="H2" s="19" t="s">
        <v>0</v>
      </c>
      <c r="I2" s="19" t="s">
        <v>4</v>
      </c>
      <c r="J2" s="19" t="s">
        <v>2</v>
      </c>
      <c r="K2" s="19" t="s">
        <v>3</v>
      </c>
      <c r="L2" s="20" t="s">
        <v>5</v>
      </c>
      <c r="M2" s="20" t="s">
        <v>6</v>
      </c>
      <c r="N2" s="20" t="s">
        <v>7</v>
      </c>
      <c r="O2" s="20" t="s">
        <v>8</v>
      </c>
      <c r="P2" s="20" t="s">
        <v>9</v>
      </c>
      <c r="Q2" s="20" t="s">
        <v>10</v>
      </c>
      <c r="R2" s="20" t="s">
        <v>11</v>
      </c>
      <c r="S2" s="19" t="s">
        <v>17</v>
      </c>
      <c r="T2" s="19" t="s">
        <v>23</v>
      </c>
      <c r="U2" s="19" t="s">
        <v>29</v>
      </c>
      <c r="V2" s="19" t="s">
        <v>35</v>
      </c>
      <c r="W2" s="19" t="s">
        <v>41</v>
      </c>
      <c r="X2" s="20" t="s">
        <v>12</v>
      </c>
      <c r="Y2" s="20" t="s">
        <v>18</v>
      </c>
      <c r="Z2" s="20" t="s">
        <v>24</v>
      </c>
      <c r="AA2" s="20" t="s">
        <v>30</v>
      </c>
      <c r="AB2" s="20" t="s">
        <v>36</v>
      </c>
      <c r="AC2" s="20" t="s">
        <v>42</v>
      </c>
      <c r="AD2" s="19" t="s">
        <v>13</v>
      </c>
      <c r="AE2" s="19" t="s">
        <v>19</v>
      </c>
      <c r="AF2" s="19" t="s">
        <v>25</v>
      </c>
      <c r="AG2" s="19" t="s">
        <v>31</v>
      </c>
      <c r="AH2" s="19" t="s">
        <v>37</v>
      </c>
      <c r="AI2" s="19" t="s">
        <v>43</v>
      </c>
      <c r="AJ2" s="20" t="s">
        <v>14</v>
      </c>
      <c r="AK2" s="20" t="s">
        <v>20</v>
      </c>
      <c r="AL2" s="20" t="s">
        <v>26</v>
      </c>
      <c r="AM2" s="20" t="s">
        <v>32</v>
      </c>
      <c r="AN2" s="20" t="s">
        <v>38</v>
      </c>
      <c r="AO2" s="20" t="s">
        <v>44</v>
      </c>
      <c r="AP2" s="19" t="s">
        <v>15</v>
      </c>
      <c r="AQ2" s="19" t="s">
        <v>21</v>
      </c>
      <c r="AR2" s="19" t="s">
        <v>27</v>
      </c>
      <c r="AS2" s="19" t="s">
        <v>33</v>
      </c>
      <c r="AT2" s="19" t="s">
        <v>39</v>
      </c>
      <c r="AU2" s="19" t="s">
        <v>45</v>
      </c>
      <c r="AV2" s="20" t="s">
        <v>16</v>
      </c>
      <c r="AW2" s="20" t="s">
        <v>22</v>
      </c>
      <c r="AX2" s="20" t="s">
        <v>28</v>
      </c>
      <c r="AY2" s="20" t="s">
        <v>34</v>
      </c>
      <c r="AZ2" s="20" t="s">
        <v>40</v>
      </c>
      <c r="BA2" s="20" t="s">
        <v>46</v>
      </c>
      <c r="BB2" s="19" t="s">
        <v>74</v>
      </c>
      <c r="BC2" s="19" t="s">
        <v>75</v>
      </c>
      <c r="BD2" s="19" t="s">
        <v>76</v>
      </c>
      <c r="BE2" s="19" t="s">
        <v>77</v>
      </c>
      <c r="BF2" s="19" t="s">
        <v>78</v>
      </c>
      <c r="BG2" s="19" t="s">
        <v>79</v>
      </c>
      <c r="BH2" s="21" t="s">
        <v>56</v>
      </c>
      <c r="BI2" s="21" t="s">
        <v>57</v>
      </c>
      <c r="BJ2" s="22" t="s">
        <v>278</v>
      </c>
      <c r="BP2" s="97" t="s">
        <v>336</v>
      </c>
      <c r="BQ2" s="97"/>
      <c r="BR2" s="97"/>
      <c r="BS2" s="97"/>
      <c r="BT2" s="97"/>
      <c r="BU2" s="97"/>
    </row>
    <row r="3" spans="1:80" ht="15" customHeight="1" x14ac:dyDescent="0.3">
      <c r="A3" t="s">
        <v>426</v>
      </c>
      <c r="B3" s="59">
        <v>91080</v>
      </c>
      <c r="C3" s="59">
        <v>12</v>
      </c>
      <c r="D3" s="59">
        <v>4</v>
      </c>
      <c r="E3" s="23"/>
      <c r="F3" s="69" t="str">
        <f>IFERROR(VLOOKUP(CONCATENATE($A3,$E3),BDKITS!$A:$BG,F$1,0),"")</f>
        <v/>
      </c>
      <c r="G3" s="69" t="str">
        <f>IFERROR(VLOOKUP(CONCATENATE($A3,$E3),BDKITS!$A:$BG,G$1,0),"")</f>
        <v/>
      </c>
      <c r="H3" s="57" t="str">
        <f>IFERROR(VLOOKUP(CONCATENATE($A3,$E3),BDKITS!$A:$BG,H$1,0),"")</f>
        <v/>
      </c>
      <c r="I3" s="57" t="str">
        <f>IFERROR(VLOOKUP(CONCATENATE($A3,$E3),BDKITS!$A:$BG,I$1,0),"")</f>
        <v/>
      </c>
      <c r="J3" s="57" t="str">
        <f>IFERROR(VLOOKUP(CONCATENATE($A3,$E3),BDKITS!$A:$BG,J$1,0),"")</f>
        <v/>
      </c>
      <c r="K3" s="57" t="str">
        <f>IFERROR(VLOOKUP(CONCATENATE($A3,$E3),BDKITS!$A:$BG,K$1,0),"")</f>
        <v/>
      </c>
      <c r="L3" s="57" t="str">
        <f>IFERROR(VLOOKUP(CONCATENATE($A3,$E3),BDKITS!$A:$BG,L$1,0),"")</f>
        <v/>
      </c>
      <c r="M3" s="57" t="str">
        <f>IFERROR(VLOOKUP(CONCATENATE($A3,$E3),BDKITS!$A:$BG,M$1,0),"")</f>
        <v/>
      </c>
      <c r="N3" s="57" t="str">
        <f>IFERROR(VLOOKUP(CONCATENATE($A3,$E3),BDKITS!$A:$BG,N$1,0),"")</f>
        <v/>
      </c>
      <c r="O3" s="57" t="str">
        <f>IFERROR(VLOOKUP(CONCATENATE($A3,$E3),BDKITS!$A:$BG,O$1,0),"")</f>
        <v/>
      </c>
      <c r="P3" s="57" t="str">
        <f>IFERROR(VLOOKUP(CONCATENATE($A3,$E3),BDKITS!$A:$BG,P$1,0),"")</f>
        <v/>
      </c>
      <c r="Q3" s="57" t="str">
        <f>IFERROR(VLOOKUP(CONCATENATE($A3,$E3),BDKITS!$A:$BG,Q$1,0),"")</f>
        <v/>
      </c>
      <c r="R3" s="57" t="str">
        <f>IFERROR(VLOOKUP(CONCATENATE($A3,$E3),BDKITS!$A:$BG,R$1,0),"")</f>
        <v/>
      </c>
      <c r="S3" s="57" t="str">
        <f>IFERROR(VLOOKUP(CONCATENATE($A3,$E3),BDKITS!$A:$BG,S$1,0),"")</f>
        <v/>
      </c>
      <c r="T3" s="57" t="str">
        <f>IFERROR(VLOOKUP(CONCATENATE($A3,$E3),BDKITS!$A:$BG,T$1,0),"")</f>
        <v/>
      </c>
      <c r="U3" s="57" t="str">
        <f>IFERROR(VLOOKUP(CONCATENATE($A3,$E3),BDKITS!$A:$BG,U$1,0),"")</f>
        <v/>
      </c>
      <c r="V3" s="57" t="str">
        <f>IFERROR(VLOOKUP(CONCATENATE($A3,$E3),BDKITS!$A:$BG,V$1,0),"")</f>
        <v/>
      </c>
      <c r="W3" s="57" t="str">
        <f>IFERROR(VLOOKUP(CONCATENATE($A3,$E3),BDKITS!$A:$BG,W$1,0),"")</f>
        <v/>
      </c>
      <c r="X3" s="57" t="str">
        <f>IFERROR(VLOOKUP(CONCATENATE($A3,$E3),BDKITS!$A:$BG,X$1,0),"")</f>
        <v/>
      </c>
      <c r="Y3" s="57" t="str">
        <f>IFERROR(VLOOKUP(CONCATENATE($A3,$E3),BDKITS!$A:$BG,Y$1,0),"")</f>
        <v/>
      </c>
      <c r="Z3" s="57" t="str">
        <f>IFERROR(VLOOKUP(CONCATENATE($A3,$E3),BDKITS!$A:$BG,Z$1,0),"")</f>
        <v/>
      </c>
      <c r="AA3" s="57" t="str">
        <f>IFERROR(VLOOKUP(CONCATENATE($A3,$E3),BDKITS!$A:$BG,AA$1,0),"")</f>
        <v/>
      </c>
      <c r="AB3" s="57" t="str">
        <f>IFERROR(VLOOKUP(CONCATENATE($A3,$E3),BDKITS!$A:$BG,AB$1,0),"")</f>
        <v/>
      </c>
      <c r="AC3" s="57" t="str">
        <f>IFERROR(VLOOKUP(CONCATENATE($A3,$E3),BDKITS!$A:$BG,AC$1,0),"")</f>
        <v/>
      </c>
      <c r="AD3" s="57" t="str">
        <f>IFERROR(VLOOKUP(CONCATENATE($A3,$E3),BDKITS!$A:$BG,AD$1,0),"")</f>
        <v/>
      </c>
      <c r="AE3" s="57" t="str">
        <f>IFERROR(VLOOKUP(CONCATENATE($A3,$E3),BDKITS!$A:$BG,AE$1,0),"")</f>
        <v/>
      </c>
      <c r="AF3" s="57" t="str">
        <f>IFERROR(VLOOKUP(CONCATENATE($A3,$E3),BDKITS!$A:$BG,AF$1,0),"")</f>
        <v/>
      </c>
      <c r="AG3" s="57" t="str">
        <f>IFERROR(VLOOKUP(CONCATENATE($A3,$E3),BDKITS!$A:$BG,AG$1,0),"")</f>
        <v/>
      </c>
      <c r="AH3" s="57" t="str">
        <f>IFERROR(VLOOKUP(CONCATENATE($A3,$E3),BDKITS!$A:$BG,AH$1,0),"")</f>
        <v/>
      </c>
      <c r="AI3" s="57" t="str">
        <f>IFERROR(VLOOKUP(CONCATENATE($A3,$E3),BDKITS!$A:$BG,AI$1,0),"")</f>
        <v/>
      </c>
      <c r="AJ3" s="57" t="str">
        <f>IFERROR(VLOOKUP(CONCATENATE($A3,$E3),BDKITS!$A:$BG,AJ$1,0),"")</f>
        <v/>
      </c>
      <c r="AK3" s="57" t="str">
        <f>IFERROR(VLOOKUP(CONCATENATE($A3,$E3),BDKITS!$A:$BG,AK$1,0),"")</f>
        <v/>
      </c>
      <c r="AL3" s="57" t="str">
        <f>IFERROR(VLOOKUP(CONCATENATE($A3,$E3),BDKITS!$A:$BG,AL$1,0),"")</f>
        <v/>
      </c>
      <c r="AM3" s="57" t="str">
        <f>IFERROR(VLOOKUP(CONCATENATE($A3,$E3),BDKITS!$A:$BG,AM$1,0),"")</f>
        <v/>
      </c>
      <c r="AN3" s="57" t="str">
        <f>IFERROR(VLOOKUP(CONCATENATE($A3,$E3),BDKITS!$A:$BG,AN$1,0),"")</f>
        <v/>
      </c>
      <c r="AO3" s="57" t="str">
        <f>IFERROR(VLOOKUP(CONCATENATE($A3,$E3),BDKITS!$A:$BG,AO$1,0),"")</f>
        <v/>
      </c>
      <c r="AP3" s="57" t="str">
        <f>IFERROR(VLOOKUP(CONCATENATE($A3,$E3),BDKITS!$A:$BG,AP$1,0),"")</f>
        <v/>
      </c>
      <c r="AQ3" s="57" t="str">
        <f>IFERROR(VLOOKUP(CONCATENATE($A3,$E3),BDKITS!$A:$BG,AQ$1,0),"")</f>
        <v/>
      </c>
      <c r="AR3" s="57" t="str">
        <f>IFERROR(VLOOKUP(CONCATENATE($A3,$E3),BDKITS!$A:$BG,AR$1,0),"")</f>
        <v/>
      </c>
      <c r="AS3" s="57" t="str">
        <f>IFERROR(VLOOKUP(CONCATENATE($A3,$E3),BDKITS!$A:$BG,AS$1,0),"")</f>
        <v/>
      </c>
      <c r="AT3" s="57" t="str">
        <f>IFERROR(VLOOKUP(CONCATENATE($A3,$E3),BDKITS!$A:$BG,AT$1,0),"")</f>
        <v/>
      </c>
      <c r="AU3" s="57" t="str">
        <f>IFERROR(VLOOKUP(CONCATENATE($A3,$E3),BDKITS!$A:$BG,AU$1,0),"")</f>
        <v/>
      </c>
      <c r="AV3" s="57" t="str">
        <f>IFERROR(VLOOKUP(CONCATENATE($A3,$E3),BDKITS!$A:$BG,AV$1,0),"")</f>
        <v/>
      </c>
      <c r="AW3" s="57" t="str">
        <f>IFERROR(VLOOKUP(CONCATENATE($A3,$E3),BDKITS!$A:$BG,AW$1,0),"")</f>
        <v/>
      </c>
      <c r="AX3" s="57" t="str">
        <f>IFERROR(VLOOKUP(CONCATENATE($A3,$E3),BDKITS!$A:$BG,AX$1,0),"")</f>
        <v/>
      </c>
      <c r="AY3" s="57" t="str">
        <f>IFERROR(VLOOKUP(CONCATENATE($A3,$E3),BDKITS!$A:$BG,AY$1,0),"")</f>
        <v/>
      </c>
      <c r="AZ3" s="57" t="str">
        <f>IFERROR(VLOOKUP(CONCATENATE($A3,$E3),BDKITS!$A:$BG,AZ$1,0),"")</f>
        <v/>
      </c>
      <c r="BA3" s="57" t="str">
        <f>IFERROR(VLOOKUP(CONCATENATE($A3,$E3),BDKITS!$A:$BG,BA$1,0),"")</f>
        <v/>
      </c>
      <c r="BB3" s="57" t="str">
        <f>IFERROR(VLOOKUP(CONCATENATE($A3,$E3),BDKITS!$A:$BG,BB$1,0),"")</f>
        <v/>
      </c>
      <c r="BC3" s="57" t="str">
        <f>IFERROR(VLOOKUP(CONCATENATE($A3,$E3),BDKITS!$A:$BG,BC$1,0),"")</f>
        <v/>
      </c>
      <c r="BD3" s="57" t="str">
        <f>IFERROR(VLOOKUP(CONCATENATE($A3,$E3),BDKITS!$A:$BG,BD$1,0),"")</f>
        <v/>
      </c>
      <c r="BE3" s="57" t="str">
        <f>IFERROR(VLOOKUP(CONCATENATE($A3,$E3),BDKITS!$A:$BG,BE$1,0),"")</f>
        <v/>
      </c>
      <c r="BF3" s="57" t="str">
        <f>IFERROR(VLOOKUP(CONCATENATE($A3,$E3),BDKITS!$A:$BG,BF$1,0),"")</f>
        <v/>
      </c>
      <c r="BG3" s="57" t="str">
        <f>IFERROR(VLOOKUP(CONCATENATE($A3,$E3),BDKITS!$A:$BG,BG$1,0),"")</f>
        <v/>
      </c>
      <c r="BH3" s="69">
        <f t="shared" ref="BH3" si="0">IF(B3="","",B3)</f>
        <v>91080</v>
      </c>
      <c r="BI3" s="69">
        <f t="shared" ref="BI3" si="1">IF(C3="","",C3)</f>
        <v>12</v>
      </c>
      <c r="BJ3" s="57" t="str">
        <f>IFERROR(VLOOKUP(CONCATENATE($A3,$E3),BDKITS!$A:$BG,BJ$1,0),"")</f>
        <v/>
      </c>
      <c r="BP3" s="97"/>
      <c r="BQ3" s="97"/>
      <c r="BR3" s="97"/>
      <c r="BS3" s="97"/>
      <c r="BT3" s="97"/>
      <c r="BU3" s="97"/>
    </row>
    <row r="4" spans="1:80" x14ac:dyDescent="0.3">
      <c r="A4" s="58"/>
      <c r="B4" s="59"/>
      <c r="C4" s="59"/>
      <c r="D4" s="59"/>
      <c r="E4" s="23"/>
      <c r="F4" s="69" t="str">
        <f>IFERROR(VLOOKUP(CONCATENATE($A4,$E4),BDKITS!$A:$BG,F$1,0),"")</f>
        <v/>
      </c>
      <c r="G4" s="69" t="str">
        <f>IFERROR(VLOOKUP(CONCATENATE($A4,$E4),BDKITS!$A:$BG,G$1,0),"")</f>
        <v/>
      </c>
      <c r="H4" s="57" t="str">
        <f>IFERROR(VLOOKUP(CONCATENATE($A4,$E4),BDKITS!$A:$BG,H$1,0),"")</f>
        <v/>
      </c>
      <c r="I4" s="57" t="str">
        <f>IFERROR(VLOOKUP(CONCATENATE($A4,$E4),BDKITS!$A:$BG,I$1,0),"")</f>
        <v/>
      </c>
      <c r="J4" s="57" t="str">
        <f>IFERROR(VLOOKUP(CONCATENATE($A4,$E4),BDKITS!$A:$BG,J$1,0),"")</f>
        <v/>
      </c>
      <c r="K4" s="57" t="str">
        <f>IFERROR(VLOOKUP(CONCATENATE($A4,$E4),BDKITS!$A:$BG,K$1,0),"")</f>
        <v/>
      </c>
      <c r="L4" s="57" t="str">
        <f>IFERROR(VLOOKUP(CONCATENATE($A4,$E4),BDKITS!$A:$BG,L$1,0),"")</f>
        <v/>
      </c>
      <c r="M4" s="57" t="str">
        <f>IFERROR(VLOOKUP(CONCATENATE($A4,$E4),BDKITS!$A:$BG,M$1,0),"")</f>
        <v/>
      </c>
      <c r="N4" s="57" t="str">
        <f>IFERROR(VLOOKUP(CONCATENATE($A4,$E4),BDKITS!$A:$BG,N$1,0),"")</f>
        <v/>
      </c>
      <c r="O4" s="57" t="str">
        <f>IFERROR(VLOOKUP(CONCATENATE($A4,$E4),BDKITS!$A:$BG,O$1,0),"")</f>
        <v/>
      </c>
      <c r="P4" s="57" t="str">
        <f>IFERROR(VLOOKUP(CONCATENATE($A4,$E4),BDKITS!$A:$BG,P$1,0),"")</f>
        <v/>
      </c>
      <c r="Q4" s="57" t="str">
        <f>IFERROR(VLOOKUP(CONCATENATE($A4,$E4),BDKITS!$A:$BG,Q$1,0),"")</f>
        <v/>
      </c>
      <c r="R4" s="57" t="str">
        <f>IFERROR(VLOOKUP(CONCATENATE($A4,$E4),BDKITS!$A:$BG,R$1,0),"")</f>
        <v/>
      </c>
      <c r="S4" s="57" t="str">
        <f>IFERROR(VLOOKUP(CONCATENATE($A4,$E4),BDKITS!$A:$BG,S$1,0),"")</f>
        <v/>
      </c>
      <c r="T4" s="57" t="str">
        <f>IFERROR(VLOOKUP(CONCATENATE($A4,$E4),BDKITS!$A:$BG,T$1,0),"")</f>
        <v/>
      </c>
      <c r="U4" s="57" t="str">
        <f>IFERROR(VLOOKUP(CONCATENATE($A4,$E4),BDKITS!$A:$BG,U$1,0),"")</f>
        <v/>
      </c>
      <c r="V4" s="57" t="str">
        <f>IFERROR(VLOOKUP(CONCATENATE($A4,$E4),BDKITS!$A:$BG,V$1,0),"")</f>
        <v/>
      </c>
      <c r="W4" s="57" t="str">
        <f>IFERROR(VLOOKUP(CONCATENATE($A4,$E4),BDKITS!$A:$BG,W$1,0),"")</f>
        <v/>
      </c>
      <c r="X4" s="57" t="str">
        <f>IFERROR(VLOOKUP(CONCATENATE($A4,$E4),BDKITS!$A:$BG,X$1,0),"")</f>
        <v/>
      </c>
      <c r="Y4" s="57" t="str">
        <f>IFERROR(VLOOKUP(CONCATENATE($A4,$E4),BDKITS!$A:$BG,Y$1,0),"")</f>
        <v/>
      </c>
      <c r="Z4" s="57" t="str">
        <f>IFERROR(VLOOKUP(CONCATENATE($A4,$E4),BDKITS!$A:$BG,Z$1,0),"")</f>
        <v/>
      </c>
      <c r="AA4" s="57" t="str">
        <f>IFERROR(VLOOKUP(CONCATENATE($A4,$E4),BDKITS!$A:$BG,AA$1,0),"")</f>
        <v/>
      </c>
      <c r="AB4" s="57" t="str">
        <f>IFERROR(VLOOKUP(CONCATENATE($A4,$E4),BDKITS!$A:$BG,AB$1,0),"")</f>
        <v/>
      </c>
      <c r="AC4" s="57" t="str">
        <f>IFERROR(VLOOKUP(CONCATENATE($A4,$E4),BDKITS!$A:$BG,AC$1,0),"")</f>
        <v/>
      </c>
      <c r="AD4" s="57" t="str">
        <f>IFERROR(VLOOKUP(CONCATENATE($A4,$E4),BDKITS!$A:$BG,AD$1,0),"")</f>
        <v/>
      </c>
      <c r="AE4" s="57" t="str">
        <f>IFERROR(VLOOKUP(CONCATENATE($A4,$E4),BDKITS!$A:$BG,AE$1,0),"")</f>
        <v/>
      </c>
      <c r="AF4" s="57" t="str">
        <f>IFERROR(VLOOKUP(CONCATENATE($A4,$E4),BDKITS!$A:$BG,AF$1,0),"")</f>
        <v/>
      </c>
      <c r="AG4" s="57" t="str">
        <f>IFERROR(VLOOKUP(CONCATENATE($A4,$E4),BDKITS!$A:$BG,AG$1,0),"")</f>
        <v/>
      </c>
      <c r="AH4" s="57" t="str">
        <f>IFERROR(VLOOKUP(CONCATENATE($A4,$E4),BDKITS!$A:$BG,AH$1,0),"")</f>
        <v/>
      </c>
      <c r="AI4" s="57" t="str">
        <f>IFERROR(VLOOKUP(CONCATENATE($A4,$E4),BDKITS!$A:$BG,AI$1,0),"")</f>
        <v/>
      </c>
      <c r="AJ4" s="57" t="str">
        <f>IFERROR(VLOOKUP(CONCATENATE($A4,$E4),BDKITS!$A:$BG,AJ$1,0),"")</f>
        <v/>
      </c>
      <c r="AK4" s="57" t="str">
        <f>IFERROR(VLOOKUP(CONCATENATE($A4,$E4),BDKITS!$A:$BG,AK$1,0),"")</f>
        <v/>
      </c>
      <c r="AL4" s="57" t="str">
        <f>IFERROR(VLOOKUP(CONCATENATE($A4,$E4),BDKITS!$A:$BG,AL$1,0),"")</f>
        <v/>
      </c>
      <c r="AM4" s="57" t="str">
        <f>IFERROR(VLOOKUP(CONCATENATE($A4,$E4),BDKITS!$A:$BG,AM$1,0),"")</f>
        <v/>
      </c>
      <c r="AN4" s="57" t="str">
        <f>IFERROR(VLOOKUP(CONCATENATE($A4,$E4),BDKITS!$A:$BG,AN$1,0),"")</f>
        <v/>
      </c>
      <c r="AO4" s="57" t="str">
        <f>IFERROR(VLOOKUP(CONCATENATE($A4,$E4),BDKITS!$A:$BG,AO$1,0),"")</f>
        <v/>
      </c>
      <c r="AP4" s="57" t="str">
        <f>IFERROR(VLOOKUP(CONCATENATE($A4,$E4),BDKITS!$A:$BG,AP$1,0),"")</f>
        <v/>
      </c>
      <c r="AQ4" s="57" t="str">
        <f>IFERROR(VLOOKUP(CONCATENATE($A4,$E4),BDKITS!$A:$BG,AQ$1,0),"")</f>
        <v/>
      </c>
      <c r="AR4" s="57" t="str">
        <f>IFERROR(VLOOKUP(CONCATENATE($A4,$E4),BDKITS!$A:$BG,AR$1,0),"")</f>
        <v/>
      </c>
      <c r="AS4" s="57" t="str">
        <f>IFERROR(VLOOKUP(CONCATENATE($A4,$E4),BDKITS!$A:$BG,AS$1,0),"")</f>
        <v/>
      </c>
      <c r="AT4" s="57" t="str">
        <f>IFERROR(VLOOKUP(CONCATENATE($A4,$E4),BDKITS!$A:$BG,AT$1,0),"")</f>
        <v/>
      </c>
      <c r="AU4" s="57" t="str">
        <f>IFERROR(VLOOKUP(CONCATENATE($A4,$E4),BDKITS!$A:$BG,AU$1,0),"")</f>
        <v/>
      </c>
      <c r="AV4" s="57" t="str">
        <f>IFERROR(VLOOKUP(CONCATENATE($A4,$E4),BDKITS!$A:$BG,AV$1,0),"")</f>
        <v/>
      </c>
      <c r="AW4" s="57" t="str">
        <f>IFERROR(VLOOKUP(CONCATENATE($A4,$E4),BDKITS!$A:$BG,AW$1,0),"")</f>
        <v/>
      </c>
      <c r="AX4" s="57" t="str">
        <f>IFERROR(VLOOKUP(CONCATENATE($A4,$E4),BDKITS!$A:$BG,AX$1,0),"")</f>
        <v/>
      </c>
      <c r="AY4" s="57" t="str">
        <f>IFERROR(VLOOKUP(CONCATENATE($A4,$E4),BDKITS!$A:$BG,AY$1,0),"")</f>
        <v/>
      </c>
      <c r="AZ4" s="57" t="str">
        <f>IFERROR(VLOOKUP(CONCATENATE($A4,$E4),BDKITS!$A:$BG,AZ$1,0),"")</f>
        <v/>
      </c>
      <c r="BA4" s="57" t="str">
        <f>IFERROR(VLOOKUP(CONCATENATE($A4,$E4),BDKITS!$A:$BG,BA$1,0),"")</f>
        <v/>
      </c>
      <c r="BB4" s="57" t="str">
        <f>IFERROR(VLOOKUP(CONCATENATE($A4,$E4),BDKITS!$A:$BG,BB$1,0),"")</f>
        <v/>
      </c>
      <c r="BC4" s="57" t="str">
        <f>IFERROR(VLOOKUP(CONCATENATE($A4,$E4),BDKITS!$A:$BG,BC$1,0),"")</f>
        <v/>
      </c>
      <c r="BD4" s="57" t="str">
        <f>IFERROR(VLOOKUP(CONCATENATE($A4,$E4),BDKITS!$A:$BG,BD$1,0),"")</f>
        <v/>
      </c>
      <c r="BE4" s="57" t="str">
        <f>IFERROR(VLOOKUP(CONCATENATE($A4,$E4),BDKITS!$A:$BG,BE$1,0),"")</f>
        <v/>
      </c>
      <c r="BF4" s="57" t="str">
        <f>IFERROR(VLOOKUP(CONCATENATE($A4,$E4),BDKITS!$A:$BG,BF$1,0),"")</f>
        <v/>
      </c>
      <c r="BG4" s="57" t="str">
        <f>IFERROR(VLOOKUP(CONCATENATE($A4,$E4),BDKITS!$A:$BG,BG$1,0),"")</f>
        <v/>
      </c>
      <c r="BH4" s="69" t="str">
        <f>IF(B4="","",B4)</f>
        <v/>
      </c>
      <c r="BI4" s="69" t="str">
        <f>IF(C4="","",C4)</f>
        <v/>
      </c>
      <c r="BJ4" s="57" t="str">
        <f>IFERROR(VLOOKUP(CONCATENATE($A4,$E4),BDKITS!$A:$BG,BJ$1,0),"")</f>
        <v/>
      </c>
      <c r="BP4" s="55" t="s">
        <v>338</v>
      </c>
      <c r="BQ4" s="55" t="s">
        <v>278</v>
      </c>
      <c r="BR4" s="55" t="s">
        <v>279</v>
      </c>
      <c r="BS4" s="55" t="s">
        <v>332</v>
      </c>
      <c r="BT4" s="60" t="s">
        <v>333</v>
      </c>
      <c r="BU4" s="10" t="s">
        <v>337</v>
      </c>
      <c r="BX4" s="55" t="s">
        <v>278</v>
      </c>
      <c r="BY4" s="83" t="s">
        <v>417</v>
      </c>
      <c r="BZ4"/>
      <c r="CA4"/>
      <c r="CB4"/>
    </row>
    <row r="5" spans="1:80" x14ac:dyDescent="0.3">
      <c r="A5" s="58"/>
      <c r="B5" s="90"/>
      <c r="C5" s="90"/>
      <c r="D5" s="90"/>
      <c r="E5" s="91"/>
      <c r="F5" s="92" t="str">
        <f>IFERROR(VLOOKUP(CONCATENATE($A5,$E5),BDKITS!$A:$BG,F$1,0),"")</f>
        <v/>
      </c>
      <c r="G5" s="92" t="str">
        <f>IFERROR(VLOOKUP(CONCATENATE($A5,$E5),BDKITS!$A:$BG,G$1,0),"")</f>
        <v/>
      </c>
      <c r="H5" s="93" t="str">
        <f>IFERROR(VLOOKUP(CONCATENATE($A5,$E5),BDKITS!$A:$BG,H$1,0),"")</f>
        <v/>
      </c>
      <c r="I5" s="93" t="str">
        <f>IFERROR(VLOOKUP(CONCATENATE($A5,$E5),BDKITS!$A:$BG,I$1,0),"")</f>
        <v/>
      </c>
      <c r="J5" s="93" t="str">
        <f>IFERROR(VLOOKUP(CONCATENATE($A5,$E5),BDKITS!$A:$BG,J$1,0),"")</f>
        <v/>
      </c>
      <c r="K5" s="93" t="str">
        <f>IFERROR(VLOOKUP(CONCATENATE($A5,$E5),BDKITS!$A:$BG,K$1,0),"")</f>
        <v/>
      </c>
      <c r="L5" s="93" t="str">
        <f>IFERROR(VLOOKUP(CONCATENATE($A5,$E5),BDKITS!$A:$BG,L$1,0),"")</f>
        <v/>
      </c>
      <c r="M5" s="93" t="str">
        <f>IFERROR(VLOOKUP(CONCATENATE($A5,$E5),BDKITS!$A:$BG,M$1,0),"")</f>
        <v/>
      </c>
      <c r="N5" s="93" t="str">
        <f>IFERROR(VLOOKUP(CONCATENATE($A5,$E5),BDKITS!$A:$BG,N$1,0),"")</f>
        <v/>
      </c>
      <c r="O5" s="93" t="str">
        <f>IFERROR(VLOOKUP(CONCATENATE($A5,$E5),BDKITS!$A:$BG,O$1,0),"")</f>
        <v/>
      </c>
      <c r="P5" s="93" t="str">
        <f>IFERROR(VLOOKUP(CONCATENATE($A5,$E5),BDKITS!$A:$BG,P$1,0),"")</f>
        <v/>
      </c>
      <c r="Q5" s="93" t="str">
        <f>IFERROR(VLOOKUP(CONCATENATE($A5,$E5),BDKITS!$A:$BG,Q$1,0),"")</f>
        <v/>
      </c>
      <c r="R5" s="93" t="str">
        <f>IFERROR(VLOOKUP(CONCATENATE($A5,$E5),BDKITS!$A:$BG,R$1,0),"")</f>
        <v/>
      </c>
      <c r="S5" s="93" t="str">
        <f>IFERROR(VLOOKUP(CONCATENATE($A5,$E5),BDKITS!$A:$BG,S$1,0),"")</f>
        <v/>
      </c>
      <c r="T5" s="93" t="str">
        <f>IFERROR(VLOOKUP(CONCATENATE($A5,$E5),BDKITS!$A:$BG,T$1,0),"")</f>
        <v/>
      </c>
      <c r="U5" s="93" t="str">
        <f>IFERROR(VLOOKUP(CONCATENATE($A5,$E5),BDKITS!$A:$BG,U$1,0),"")</f>
        <v/>
      </c>
      <c r="V5" s="93" t="str">
        <f>IFERROR(VLOOKUP(CONCATENATE($A5,$E5),BDKITS!$A:$BG,V$1,0),"")</f>
        <v/>
      </c>
      <c r="W5" s="93" t="str">
        <f>IFERROR(VLOOKUP(CONCATENATE($A5,$E5),BDKITS!$A:$BG,W$1,0),"")</f>
        <v/>
      </c>
      <c r="X5" s="93" t="str">
        <f>IFERROR(VLOOKUP(CONCATENATE($A5,$E5),BDKITS!$A:$BG,X$1,0),"")</f>
        <v/>
      </c>
      <c r="Y5" s="93" t="str">
        <f>IFERROR(VLOOKUP(CONCATENATE($A5,$E5),BDKITS!$A:$BG,Y$1,0),"")</f>
        <v/>
      </c>
      <c r="Z5" s="93" t="str">
        <f>IFERROR(VLOOKUP(CONCATENATE($A5,$E5),BDKITS!$A:$BG,Z$1,0),"")</f>
        <v/>
      </c>
      <c r="AA5" s="93" t="str">
        <f>IFERROR(VLOOKUP(CONCATENATE($A5,$E5),BDKITS!$A:$BG,AA$1,0),"")</f>
        <v/>
      </c>
      <c r="AB5" s="93" t="str">
        <f>IFERROR(VLOOKUP(CONCATENATE($A5,$E5),BDKITS!$A:$BG,AB$1,0),"")</f>
        <v/>
      </c>
      <c r="AC5" s="93" t="str">
        <f>IFERROR(VLOOKUP(CONCATENATE($A5,$E5),BDKITS!$A:$BG,AC$1,0),"")</f>
        <v/>
      </c>
      <c r="AD5" s="93" t="str">
        <f>IFERROR(VLOOKUP(CONCATENATE($A5,$E5),BDKITS!$A:$BG,AD$1,0),"")</f>
        <v/>
      </c>
      <c r="AE5" s="93" t="str">
        <f>IFERROR(VLOOKUP(CONCATENATE($A5,$E5),BDKITS!$A:$BG,AE$1,0),"")</f>
        <v/>
      </c>
      <c r="AF5" s="93" t="str">
        <f>IFERROR(VLOOKUP(CONCATENATE($A5,$E5),BDKITS!$A:$BG,AF$1,0),"")</f>
        <v/>
      </c>
      <c r="AG5" s="93" t="str">
        <f>IFERROR(VLOOKUP(CONCATENATE($A5,$E5),BDKITS!$A:$BG,AG$1,0),"")</f>
        <v/>
      </c>
      <c r="AH5" s="93" t="str">
        <f>IFERROR(VLOOKUP(CONCATENATE($A5,$E5),BDKITS!$A:$BG,AH$1,0),"")</f>
        <v/>
      </c>
      <c r="AI5" s="93" t="str">
        <f>IFERROR(VLOOKUP(CONCATENATE($A5,$E5),BDKITS!$A:$BG,AI$1,0),"")</f>
        <v/>
      </c>
      <c r="AJ5" s="93" t="str">
        <f>IFERROR(VLOOKUP(CONCATENATE($A5,$E5),BDKITS!$A:$BG,AJ$1,0),"")</f>
        <v/>
      </c>
      <c r="AK5" s="93" t="str">
        <f>IFERROR(VLOOKUP(CONCATENATE($A5,$E5),BDKITS!$A:$BG,AK$1,0),"")</f>
        <v/>
      </c>
      <c r="AL5" s="93" t="str">
        <f>IFERROR(VLOOKUP(CONCATENATE($A5,$E5),BDKITS!$A:$BG,AL$1,0),"")</f>
        <v/>
      </c>
      <c r="AM5" s="93" t="str">
        <f>IFERROR(VLOOKUP(CONCATENATE($A5,$E5),BDKITS!$A:$BG,AM$1,0),"")</f>
        <v/>
      </c>
      <c r="AN5" s="93" t="str">
        <f>IFERROR(VLOOKUP(CONCATENATE($A5,$E5),BDKITS!$A:$BG,AN$1,0),"")</f>
        <v/>
      </c>
      <c r="AO5" s="93" t="str">
        <f>IFERROR(VLOOKUP(CONCATENATE($A5,$E5),BDKITS!$A:$BG,AO$1,0),"")</f>
        <v/>
      </c>
      <c r="AP5" s="93" t="str">
        <f>IFERROR(VLOOKUP(CONCATENATE($A5,$E5),BDKITS!$A:$BG,AP$1,0),"")</f>
        <v/>
      </c>
      <c r="AQ5" s="93" t="str">
        <f>IFERROR(VLOOKUP(CONCATENATE($A5,$E5),BDKITS!$A:$BG,AQ$1,0),"")</f>
        <v/>
      </c>
      <c r="AR5" s="93" t="str">
        <f>IFERROR(VLOOKUP(CONCATENATE($A5,$E5),BDKITS!$A:$BG,AR$1,0),"")</f>
        <v/>
      </c>
      <c r="AS5" s="93" t="str">
        <f>IFERROR(VLOOKUP(CONCATENATE($A5,$E5),BDKITS!$A:$BG,AS$1,0),"")</f>
        <v/>
      </c>
      <c r="AT5" s="93" t="str">
        <f>IFERROR(VLOOKUP(CONCATENATE($A5,$E5),BDKITS!$A:$BG,AT$1,0),"")</f>
        <v/>
      </c>
      <c r="AU5" s="93" t="str">
        <f>IFERROR(VLOOKUP(CONCATENATE($A5,$E5),BDKITS!$A:$BG,AU$1,0),"")</f>
        <v/>
      </c>
      <c r="AV5" s="93" t="str">
        <f>IFERROR(VLOOKUP(CONCATENATE($A5,$E5),BDKITS!$A:$BG,AV$1,0),"")</f>
        <v/>
      </c>
      <c r="AW5" s="93" t="str">
        <f>IFERROR(VLOOKUP(CONCATENATE($A5,$E5),BDKITS!$A:$BG,AW$1,0),"")</f>
        <v/>
      </c>
      <c r="AX5" s="93" t="str">
        <f>IFERROR(VLOOKUP(CONCATENATE($A5,$E5),BDKITS!$A:$BG,AX$1,0),"")</f>
        <v/>
      </c>
      <c r="AY5" s="93" t="str">
        <f>IFERROR(VLOOKUP(CONCATENATE($A5,$E5),BDKITS!$A:$BG,AY$1,0),"")</f>
        <v/>
      </c>
      <c r="AZ5" s="93" t="str">
        <f>IFERROR(VLOOKUP(CONCATENATE($A5,$E5),BDKITS!$A:$BG,AZ$1,0),"")</f>
        <v/>
      </c>
      <c r="BA5" s="93" t="str">
        <f>IFERROR(VLOOKUP(CONCATENATE($A5,$E5),BDKITS!$A:$BG,BA$1,0),"")</f>
        <v/>
      </c>
      <c r="BB5" s="93" t="str">
        <f>IFERROR(VLOOKUP(CONCATENATE($A5,$E5),BDKITS!$A:$BG,BB$1,0),"")</f>
        <v/>
      </c>
      <c r="BC5" s="93" t="str">
        <f>IFERROR(VLOOKUP(CONCATENATE($A5,$E5),BDKITS!$A:$BG,BC$1,0),"")</f>
        <v/>
      </c>
      <c r="BD5" s="93" t="str">
        <f>IFERROR(VLOOKUP(CONCATENATE($A5,$E5),BDKITS!$A:$BG,BD$1,0),"")</f>
        <v/>
      </c>
      <c r="BE5" s="93" t="str">
        <f>IFERROR(VLOOKUP(CONCATENATE($A5,$E5),BDKITS!$A:$BG,BE$1,0),"")</f>
        <v/>
      </c>
      <c r="BF5" s="93" t="str">
        <f>IFERROR(VLOOKUP(CONCATENATE($A5,$E5),BDKITS!$A:$BG,BF$1,0),"")</f>
        <v/>
      </c>
      <c r="BG5" s="93" t="str">
        <f>IFERROR(VLOOKUP(CONCATENATE($A5,$E5),BDKITS!$A:$BG,BG$1,0),"")</f>
        <v/>
      </c>
      <c r="BH5" s="92" t="str">
        <f>IF(B5="","",B5)</f>
        <v/>
      </c>
      <c r="BI5" s="92" t="str">
        <f>IF(C5="","",C5)</f>
        <v/>
      </c>
      <c r="BJ5" s="57" t="str">
        <f>IFERROR(VLOOKUP(CONCATENATE($A5,$E5),BDKITS!$A:$BG,BJ$1,0),"")</f>
        <v/>
      </c>
      <c r="BP5" s="82">
        <v>4</v>
      </c>
      <c r="BQ5" s="82"/>
      <c r="BR5" s="82" t="s">
        <v>426</v>
      </c>
      <c r="BS5" s="82">
        <v>12</v>
      </c>
      <c r="BT5" s="83">
        <v>91080</v>
      </c>
      <c r="BU5" s="15" t="str">
        <f>IFERROR(VLOOKUP(BR5,MKITS!$C:$I,7,0),"")</f>
        <v/>
      </c>
      <c r="BX5" s="82"/>
      <c r="BY5" s="85">
        <v>12</v>
      </c>
      <c r="BZ5"/>
      <c r="CA5"/>
      <c r="CB5"/>
    </row>
    <row r="6" spans="1:80" x14ac:dyDescent="0.3">
      <c r="A6" s="98" t="s">
        <v>421</v>
      </c>
      <c r="B6" s="90" t="s">
        <v>421</v>
      </c>
      <c r="C6" s="90" t="s">
        <v>421</v>
      </c>
      <c r="D6" s="90" t="s">
        <v>421</v>
      </c>
      <c r="E6" s="91" t="s">
        <v>421</v>
      </c>
      <c r="F6" s="92" t="s">
        <v>421</v>
      </c>
      <c r="G6" s="92" t="s">
        <v>421</v>
      </c>
      <c r="H6" s="93" t="s">
        <v>421</v>
      </c>
      <c r="I6" s="93" t="s">
        <v>421</v>
      </c>
      <c r="J6" s="93" t="s">
        <v>421</v>
      </c>
      <c r="K6" s="93" t="s">
        <v>421</v>
      </c>
      <c r="L6" s="93" t="s">
        <v>421</v>
      </c>
      <c r="M6" s="93" t="s">
        <v>421</v>
      </c>
      <c r="N6" s="93" t="s">
        <v>421</v>
      </c>
      <c r="O6" s="93" t="s">
        <v>421</v>
      </c>
      <c r="P6" s="93" t="s">
        <v>421</v>
      </c>
      <c r="Q6" s="93" t="s">
        <v>421</v>
      </c>
      <c r="R6" s="93" t="s">
        <v>421</v>
      </c>
      <c r="S6" s="93" t="s">
        <v>421</v>
      </c>
      <c r="T6" s="93" t="s">
        <v>421</v>
      </c>
      <c r="U6" s="93" t="s">
        <v>421</v>
      </c>
      <c r="V6" s="93" t="s">
        <v>421</v>
      </c>
      <c r="W6" s="93" t="s">
        <v>421</v>
      </c>
      <c r="X6" s="93" t="s">
        <v>421</v>
      </c>
      <c r="Y6" s="93" t="s">
        <v>421</v>
      </c>
      <c r="Z6" s="93" t="s">
        <v>421</v>
      </c>
      <c r="AA6" s="93" t="s">
        <v>421</v>
      </c>
      <c r="AB6" s="93" t="s">
        <v>421</v>
      </c>
      <c r="AC6" s="93" t="s">
        <v>421</v>
      </c>
      <c r="AD6" s="93" t="s">
        <v>421</v>
      </c>
      <c r="AE6" s="93" t="s">
        <v>421</v>
      </c>
      <c r="AF6" s="93" t="s">
        <v>421</v>
      </c>
      <c r="AG6" s="93" t="s">
        <v>421</v>
      </c>
      <c r="AH6" s="93" t="s">
        <v>421</v>
      </c>
      <c r="AI6" s="93" t="s">
        <v>421</v>
      </c>
      <c r="AJ6" s="93" t="s">
        <v>421</v>
      </c>
      <c r="AK6" s="93" t="s">
        <v>421</v>
      </c>
      <c r="AL6" s="93" t="s">
        <v>421</v>
      </c>
      <c r="AM6" s="93" t="s">
        <v>421</v>
      </c>
      <c r="AN6" s="93" t="s">
        <v>421</v>
      </c>
      <c r="AO6" s="93" t="s">
        <v>421</v>
      </c>
      <c r="AP6" s="93" t="s">
        <v>421</v>
      </c>
      <c r="AQ6" s="93" t="s">
        <v>421</v>
      </c>
      <c r="AR6" s="93" t="s">
        <v>421</v>
      </c>
      <c r="AS6" s="93" t="s">
        <v>421</v>
      </c>
      <c r="AT6" s="93" t="s">
        <v>421</v>
      </c>
      <c r="AU6" s="93" t="s">
        <v>421</v>
      </c>
      <c r="AV6" s="93" t="s">
        <v>421</v>
      </c>
      <c r="AW6" s="93" t="s">
        <v>421</v>
      </c>
      <c r="AX6" s="93" t="s">
        <v>421</v>
      </c>
      <c r="AY6" s="93" t="s">
        <v>421</v>
      </c>
      <c r="AZ6" s="93" t="s">
        <v>421</v>
      </c>
      <c r="BA6" s="93" t="s">
        <v>421</v>
      </c>
      <c r="BB6" s="93" t="s">
        <v>421</v>
      </c>
      <c r="BC6" s="93">
        <v>91080</v>
      </c>
      <c r="BD6" s="93">
        <v>12</v>
      </c>
      <c r="BE6" s="93">
        <v>0</v>
      </c>
      <c r="BF6" s="93" t="str">
        <f>IFERROR(VLOOKUP(CONCATENATE($A6,$E6),BDKITS!$A:$BG,BF$1,0),"")</f>
        <v/>
      </c>
      <c r="BG6" s="93" t="str">
        <f>IFERROR(VLOOKUP(CONCATENATE($A6,$E6),BDKITS!$A:$BG,BG$1,0),"")</f>
        <v/>
      </c>
      <c r="BH6" s="92" t="str">
        <f>IF(B6="","",B6)</f>
        <v/>
      </c>
      <c r="BI6" s="92" t="str">
        <f>IF(C6="","",C6)</f>
        <v/>
      </c>
      <c r="BJ6" s="57" t="str">
        <f>IFERROR(VLOOKUP(CONCATENATE($A6,$E6),BDKITS!$A:$BG,BJ$1,0),"")</f>
        <v/>
      </c>
      <c r="BP6" s="82"/>
      <c r="BQ6" s="82"/>
      <c r="BR6" s="82"/>
      <c r="BS6" s="82"/>
      <c r="BT6" s="83"/>
      <c r="BU6" s="15" t="str">
        <f>IFERROR(VLOOKUP(BR6,MKITS!$C:$I,7,0),"")</f>
        <v/>
      </c>
      <c r="BX6" s="56" t="s">
        <v>427</v>
      </c>
      <c r="BY6" s="86">
        <v>12</v>
      </c>
      <c r="BZ6"/>
      <c r="CA6"/>
      <c r="CB6"/>
    </row>
    <row r="7" spans="1:80" x14ac:dyDescent="0.3">
      <c r="A7" s="98" t="s">
        <v>421</v>
      </c>
      <c r="B7" s="90" t="s">
        <v>421</v>
      </c>
      <c r="C7" s="90" t="s">
        <v>421</v>
      </c>
      <c r="D7" s="90" t="s">
        <v>421</v>
      </c>
      <c r="E7" s="91" t="s">
        <v>421</v>
      </c>
      <c r="F7" s="92" t="s">
        <v>421</v>
      </c>
      <c r="G7" s="92" t="s">
        <v>421</v>
      </c>
      <c r="H7" s="93" t="s">
        <v>421</v>
      </c>
      <c r="I7" s="93" t="s">
        <v>421</v>
      </c>
      <c r="J7" s="93" t="s">
        <v>421</v>
      </c>
      <c r="K7" s="93" t="s">
        <v>421</v>
      </c>
      <c r="L7" s="93" t="s">
        <v>421</v>
      </c>
      <c r="M7" s="93" t="s">
        <v>421</v>
      </c>
      <c r="N7" s="93" t="s">
        <v>421</v>
      </c>
      <c r="O7" s="93" t="s">
        <v>421</v>
      </c>
      <c r="P7" s="93" t="s">
        <v>421</v>
      </c>
      <c r="Q7" s="93" t="s">
        <v>421</v>
      </c>
      <c r="R7" s="93" t="s">
        <v>421</v>
      </c>
      <c r="S7" s="93" t="s">
        <v>421</v>
      </c>
      <c r="T7" s="93" t="s">
        <v>421</v>
      </c>
      <c r="U7" s="93" t="s">
        <v>421</v>
      </c>
      <c r="V7" s="93" t="s">
        <v>421</v>
      </c>
      <c r="W7" s="93" t="s">
        <v>421</v>
      </c>
      <c r="X7" s="93" t="s">
        <v>421</v>
      </c>
      <c r="Y7" s="93" t="s">
        <v>421</v>
      </c>
      <c r="Z7" s="93" t="s">
        <v>421</v>
      </c>
      <c r="AA7" s="93" t="s">
        <v>421</v>
      </c>
      <c r="AB7" s="93" t="s">
        <v>421</v>
      </c>
      <c r="AC7" s="93" t="s">
        <v>421</v>
      </c>
      <c r="AD7" s="93" t="s">
        <v>421</v>
      </c>
      <c r="AE7" s="93" t="s">
        <v>421</v>
      </c>
      <c r="AF7" s="93" t="s">
        <v>421</v>
      </c>
      <c r="AG7" s="93" t="s">
        <v>421</v>
      </c>
      <c r="AH7" s="93" t="s">
        <v>421</v>
      </c>
      <c r="AI7" s="93" t="s">
        <v>421</v>
      </c>
      <c r="AJ7" s="93" t="s">
        <v>421</v>
      </c>
      <c r="AK7" s="93" t="s">
        <v>421</v>
      </c>
      <c r="AL7" s="93" t="s">
        <v>421</v>
      </c>
      <c r="AM7" s="93" t="s">
        <v>421</v>
      </c>
      <c r="AN7" s="93" t="s">
        <v>421</v>
      </c>
      <c r="AO7" s="93" t="s">
        <v>421</v>
      </c>
      <c r="AP7" s="93" t="s">
        <v>421</v>
      </c>
      <c r="AQ7" s="93" t="s">
        <v>421</v>
      </c>
      <c r="AR7" s="93" t="s">
        <v>421</v>
      </c>
      <c r="AS7" s="93" t="s">
        <v>421</v>
      </c>
      <c r="AT7" s="93" t="s">
        <v>421</v>
      </c>
      <c r="AU7" s="93" t="s">
        <v>421</v>
      </c>
      <c r="AV7" s="93" t="s">
        <v>421</v>
      </c>
      <c r="AW7" s="93" t="s">
        <v>421</v>
      </c>
      <c r="AX7" s="93" t="s">
        <v>421</v>
      </c>
      <c r="AY7" s="93" t="s">
        <v>421</v>
      </c>
      <c r="AZ7" s="93" t="s">
        <v>421</v>
      </c>
      <c r="BA7" s="93" t="s">
        <v>421</v>
      </c>
      <c r="BB7" s="93" t="s">
        <v>421</v>
      </c>
      <c r="BC7" s="93">
        <v>91080</v>
      </c>
      <c r="BD7" s="93">
        <v>12</v>
      </c>
      <c r="BE7" s="93" t="s">
        <v>421</v>
      </c>
      <c r="BF7" s="93" t="str">
        <f>IFERROR(VLOOKUP(CONCATENATE($A7,$E7),BDKITS!$A:$BG,BF$1,0),"")</f>
        <v/>
      </c>
      <c r="BG7" s="93" t="str">
        <f>IFERROR(VLOOKUP(CONCATENATE($A7,$E7),BDKITS!$A:$BG,BG$1,0),"")</f>
        <v/>
      </c>
      <c r="BH7" s="92" t="str">
        <f>IF(B7="","",B7)</f>
        <v/>
      </c>
      <c r="BI7" s="92" t="str">
        <f>IF(C7="","",C7)</f>
        <v/>
      </c>
      <c r="BJ7" s="57" t="str">
        <f>IFERROR(VLOOKUP(CONCATENATE($A7,$E7),BDKITS!$A:$BG,BJ$1,0),"")</f>
        <v/>
      </c>
      <c r="BP7" s="99"/>
      <c r="BQ7" s="99"/>
      <c r="BR7" s="82" t="s">
        <v>429</v>
      </c>
      <c r="BS7" s="82"/>
      <c r="BT7" s="83"/>
      <c r="BU7" s="15" t="s">
        <v>421</v>
      </c>
      <c r="BX7"/>
      <c r="BY7"/>
      <c r="BZ7"/>
      <c r="CA7"/>
      <c r="CB7"/>
    </row>
    <row r="8" spans="1:80" x14ac:dyDescent="0.3">
      <c r="A8" s="98" t="s">
        <v>421</v>
      </c>
      <c r="B8" s="90" t="s">
        <v>421</v>
      </c>
      <c r="C8" s="90" t="s">
        <v>421</v>
      </c>
      <c r="D8" s="90" t="s">
        <v>421</v>
      </c>
      <c r="E8" s="91" t="s">
        <v>421</v>
      </c>
      <c r="F8" s="92" t="s">
        <v>421</v>
      </c>
      <c r="G8" s="92" t="s">
        <v>421</v>
      </c>
      <c r="H8" s="93" t="s">
        <v>421</v>
      </c>
      <c r="I8" s="93" t="s">
        <v>421</v>
      </c>
      <c r="J8" s="93" t="s">
        <v>421</v>
      </c>
      <c r="K8" s="93" t="s">
        <v>421</v>
      </c>
      <c r="L8" s="93" t="s">
        <v>421</v>
      </c>
      <c r="M8" s="93" t="s">
        <v>421</v>
      </c>
      <c r="N8" s="93" t="s">
        <v>421</v>
      </c>
      <c r="O8" s="93" t="s">
        <v>421</v>
      </c>
      <c r="P8" s="93" t="s">
        <v>421</v>
      </c>
      <c r="Q8" s="93" t="s">
        <v>421</v>
      </c>
      <c r="R8" s="93" t="s">
        <v>421</v>
      </c>
      <c r="S8" s="93" t="s">
        <v>421</v>
      </c>
      <c r="T8" s="93" t="s">
        <v>421</v>
      </c>
      <c r="U8" s="93" t="s">
        <v>421</v>
      </c>
      <c r="V8" s="93" t="s">
        <v>421</v>
      </c>
      <c r="W8" s="93" t="s">
        <v>421</v>
      </c>
      <c r="X8" s="93" t="s">
        <v>421</v>
      </c>
      <c r="Y8" s="93" t="s">
        <v>421</v>
      </c>
      <c r="Z8" s="93" t="s">
        <v>421</v>
      </c>
      <c r="AA8" s="93" t="s">
        <v>421</v>
      </c>
      <c r="AB8" s="93" t="s">
        <v>421</v>
      </c>
      <c r="AC8" s="93" t="s">
        <v>421</v>
      </c>
      <c r="AD8" s="93" t="s">
        <v>421</v>
      </c>
      <c r="AE8" s="93" t="s">
        <v>421</v>
      </c>
      <c r="AF8" s="93" t="s">
        <v>421</v>
      </c>
      <c r="AG8" s="93" t="s">
        <v>421</v>
      </c>
      <c r="AH8" s="93" t="s">
        <v>421</v>
      </c>
      <c r="AI8" s="93" t="s">
        <v>421</v>
      </c>
      <c r="AJ8" s="93" t="s">
        <v>421</v>
      </c>
      <c r="AK8" s="93" t="s">
        <v>421</v>
      </c>
      <c r="AL8" s="93" t="s">
        <v>421</v>
      </c>
      <c r="AM8" s="93" t="s">
        <v>421</v>
      </c>
      <c r="AN8" s="93" t="s">
        <v>421</v>
      </c>
      <c r="AO8" s="93" t="s">
        <v>421</v>
      </c>
      <c r="AP8" s="93" t="s">
        <v>421</v>
      </c>
      <c r="AQ8" s="93" t="s">
        <v>421</v>
      </c>
      <c r="AR8" s="93" t="s">
        <v>421</v>
      </c>
      <c r="AS8" s="93" t="s">
        <v>421</v>
      </c>
      <c r="AT8" s="93" t="s">
        <v>421</v>
      </c>
      <c r="AU8" s="93" t="s">
        <v>421</v>
      </c>
      <c r="AV8" s="93" t="s">
        <v>421</v>
      </c>
      <c r="AW8" s="93" t="s">
        <v>421</v>
      </c>
      <c r="AX8" s="93" t="s">
        <v>421</v>
      </c>
      <c r="AY8" s="93" t="s">
        <v>421</v>
      </c>
      <c r="AZ8" s="93" t="s">
        <v>421</v>
      </c>
      <c r="BA8" s="93" t="s">
        <v>421</v>
      </c>
      <c r="BB8" s="93" t="s">
        <v>421</v>
      </c>
      <c r="BC8" s="93">
        <v>91080</v>
      </c>
      <c r="BD8" s="93">
        <v>12</v>
      </c>
      <c r="BE8" s="93" t="s">
        <v>421</v>
      </c>
      <c r="BF8" s="93" t="str">
        <f>IFERROR(VLOOKUP(CONCATENATE($A8,$E8),BDKITS!$A:$BG,BF$1,0),"")</f>
        <v/>
      </c>
      <c r="BG8" s="93" t="str">
        <f>IFERROR(VLOOKUP(CONCATENATE($A8,$E8),BDKITS!$A:$BG,BG$1,0),"")</f>
        <v/>
      </c>
      <c r="BH8" s="92" t="str">
        <f>IF(B8="","",B8)</f>
        <v/>
      </c>
      <c r="BI8" s="92" t="str">
        <f>IF(C8="","",C8)</f>
        <v/>
      </c>
      <c r="BJ8" s="57" t="str">
        <f>IFERROR(VLOOKUP(CONCATENATE($A8,$E8),BDKITS!$A:$BG,BJ$1,0),"")</f>
        <v/>
      </c>
      <c r="BP8" s="56" t="s">
        <v>428</v>
      </c>
      <c r="BQ8" s="56"/>
      <c r="BR8" s="56" t="s">
        <v>428</v>
      </c>
      <c r="BS8" s="56" t="s">
        <v>428</v>
      </c>
      <c r="BT8" s="84" t="s">
        <v>428</v>
      </c>
      <c r="BU8" s="15" t="s">
        <v>421</v>
      </c>
      <c r="BX8"/>
      <c r="BY8"/>
      <c r="BZ8"/>
      <c r="CA8"/>
      <c r="CB8"/>
    </row>
    <row r="9" spans="1:80" x14ac:dyDescent="0.3">
      <c r="A9" s="98" t="s">
        <v>421</v>
      </c>
      <c r="B9" s="90" t="s">
        <v>421</v>
      </c>
      <c r="C9" s="90" t="s">
        <v>421</v>
      </c>
      <c r="D9" s="90" t="s">
        <v>421</v>
      </c>
      <c r="E9" s="91" t="s">
        <v>421</v>
      </c>
      <c r="F9" s="92" t="s">
        <v>421</v>
      </c>
      <c r="G9" s="92" t="s">
        <v>421</v>
      </c>
      <c r="H9" s="93" t="s">
        <v>421</v>
      </c>
      <c r="I9" s="93" t="s">
        <v>421</v>
      </c>
      <c r="J9" s="93" t="s">
        <v>421</v>
      </c>
      <c r="K9" s="93" t="s">
        <v>421</v>
      </c>
      <c r="L9" s="93" t="s">
        <v>421</v>
      </c>
      <c r="M9" s="93" t="s">
        <v>421</v>
      </c>
      <c r="N9" s="93" t="s">
        <v>421</v>
      </c>
      <c r="O9" s="93" t="s">
        <v>421</v>
      </c>
      <c r="P9" s="93" t="s">
        <v>421</v>
      </c>
      <c r="Q9" s="93" t="s">
        <v>421</v>
      </c>
      <c r="R9" s="93" t="s">
        <v>421</v>
      </c>
      <c r="S9" s="93" t="s">
        <v>421</v>
      </c>
      <c r="T9" s="93" t="s">
        <v>421</v>
      </c>
      <c r="U9" s="93" t="s">
        <v>421</v>
      </c>
      <c r="V9" s="93" t="s">
        <v>421</v>
      </c>
      <c r="W9" s="93" t="s">
        <v>421</v>
      </c>
      <c r="X9" s="93" t="s">
        <v>421</v>
      </c>
      <c r="Y9" s="93" t="s">
        <v>421</v>
      </c>
      <c r="Z9" s="93" t="s">
        <v>421</v>
      </c>
      <c r="AA9" s="93" t="s">
        <v>421</v>
      </c>
      <c r="AB9" s="93" t="s">
        <v>421</v>
      </c>
      <c r="AC9" s="93" t="s">
        <v>421</v>
      </c>
      <c r="AD9" s="93" t="s">
        <v>421</v>
      </c>
      <c r="AE9" s="93" t="s">
        <v>421</v>
      </c>
      <c r="AF9" s="93" t="s">
        <v>421</v>
      </c>
      <c r="AG9" s="93" t="s">
        <v>421</v>
      </c>
      <c r="AH9" s="93" t="s">
        <v>421</v>
      </c>
      <c r="AI9" s="93" t="s">
        <v>421</v>
      </c>
      <c r="AJ9" s="93" t="s">
        <v>421</v>
      </c>
      <c r="AK9" s="93" t="s">
        <v>421</v>
      </c>
      <c r="AL9" s="93" t="s">
        <v>421</v>
      </c>
      <c r="AM9" s="93" t="s">
        <v>421</v>
      </c>
      <c r="AN9" s="93" t="s">
        <v>421</v>
      </c>
      <c r="AO9" s="93" t="s">
        <v>421</v>
      </c>
      <c r="AP9" s="93" t="s">
        <v>421</v>
      </c>
      <c r="AQ9" s="93" t="s">
        <v>421</v>
      </c>
      <c r="AR9" s="93" t="s">
        <v>421</v>
      </c>
      <c r="AS9" s="93" t="s">
        <v>421</v>
      </c>
      <c r="AT9" s="93" t="s">
        <v>421</v>
      </c>
      <c r="AU9" s="93" t="s">
        <v>421</v>
      </c>
      <c r="AV9" s="93" t="s">
        <v>421</v>
      </c>
      <c r="AW9" s="93" t="s">
        <v>421</v>
      </c>
      <c r="AX9" s="93" t="s">
        <v>421</v>
      </c>
      <c r="AY9" s="93" t="s">
        <v>421</v>
      </c>
      <c r="AZ9" s="93" t="s">
        <v>421</v>
      </c>
      <c r="BA9" s="93" t="s">
        <v>421</v>
      </c>
      <c r="BB9" s="93" t="s">
        <v>421</v>
      </c>
      <c r="BC9" s="93">
        <v>91080</v>
      </c>
      <c r="BD9" s="93">
        <v>12</v>
      </c>
      <c r="BE9" s="93" t="s">
        <v>421</v>
      </c>
      <c r="BF9" s="93" t="str">
        <f>IFERROR(VLOOKUP(CONCATENATE($A9,$E9),BDKITS!$A:$BG,BF$1,0),"")</f>
        <v/>
      </c>
      <c r="BG9" s="93" t="str">
        <f>IFERROR(VLOOKUP(CONCATENATE($A9,$E9),BDKITS!$A:$BG,BG$1,0),"")</f>
        <v/>
      </c>
      <c r="BH9" s="92" t="str">
        <f>IF(B9="","",B9)</f>
        <v/>
      </c>
      <c r="BI9" s="92" t="str">
        <f>IF(C9="","",C9)</f>
        <v/>
      </c>
      <c r="BJ9" s="57" t="str">
        <f>IFERROR(VLOOKUP(CONCATENATE($A9,$E9),BDKITS!$A:$BG,BJ$1,0),"")</f>
        <v/>
      </c>
      <c r="BP9"/>
      <c r="BQ9"/>
      <c r="BR9"/>
      <c r="BS9"/>
      <c r="BT9"/>
      <c r="BU9" s="15" t="s">
        <v>421</v>
      </c>
      <c r="BV9"/>
      <c r="BW9"/>
      <c r="BX9"/>
      <c r="BY9"/>
      <c r="BZ9"/>
      <c r="CA9"/>
      <c r="CB9"/>
    </row>
    <row r="10" spans="1:80" x14ac:dyDescent="0.3">
      <c r="A10" s="98" t="s">
        <v>421</v>
      </c>
      <c r="B10" s="90" t="s">
        <v>421</v>
      </c>
      <c r="C10" s="90" t="s">
        <v>421</v>
      </c>
      <c r="D10" s="90" t="s">
        <v>421</v>
      </c>
      <c r="E10" s="91" t="s">
        <v>421</v>
      </c>
      <c r="F10" s="92" t="s">
        <v>421</v>
      </c>
      <c r="G10" s="92" t="s">
        <v>421</v>
      </c>
      <c r="H10" s="93" t="s">
        <v>421</v>
      </c>
      <c r="I10" s="93" t="s">
        <v>421</v>
      </c>
      <c r="J10" s="93" t="s">
        <v>421</v>
      </c>
      <c r="K10" s="93" t="s">
        <v>421</v>
      </c>
      <c r="L10" s="93" t="s">
        <v>421</v>
      </c>
      <c r="M10" s="93" t="s">
        <v>421</v>
      </c>
      <c r="N10" s="93" t="s">
        <v>421</v>
      </c>
      <c r="O10" s="93" t="s">
        <v>421</v>
      </c>
      <c r="P10" s="93" t="s">
        <v>421</v>
      </c>
      <c r="Q10" s="93" t="s">
        <v>421</v>
      </c>
      <c r="R10" s="93" t="s">
        <v>421</v>
      </c>
      <c r="S10" s="93" t="s">
        <v>421</v>
      </c>
      <c r="T10" s="93" t="s">
        <v>421</v>
      </c>
      <c r="U10" s="93" t="s">
        <v>421</v>
      </c>
      <c r="V10" s="93" t="s">
        <v>421</v>
      </c>
      <c r="W10" s="93" t="s">
        <v>421</v>
      </c>
      <c r="X10" s="93" t="s">
        <v>421</v>
      </c>
      <c r="Y10" s="93" t="s">
        <v>421</v>
      </c>
      <c r="Z10" s="93" t="s">
        <v>421</v>
      </c>
      <c r="AA10" s="93" t="s">
        <v>421</v>
      </c>
      <c r="AB10" s="93" t="s">
        <v>421</v>
      </c>
      <c r="AC10" s="93" t="s">
        <v>421</v>
      </c>
      <c r="AD10" s="93" t="s">
        <v>421</v>
      </c>
      <c r="AE10" s="93" t="s">
        <v>421</v>
      </c>
      <c r="AF10" s="93" t="s">
        <v>421</v>
      </c>
      <c r="AG10" s="93" t="s">
        <v>421</v>
      </c>
      <c r="AH10" s="93" t="s">
        <v>421</v>
      </c>
      <c r="AI10" s="93" t="s">
        <v>421</v>
      </c>
      <c r="AJ10" s="93" t="s">
        <v>421</v>
      </c>
      <c r="AK10" s="93" t="s">
        <v>421</v>
      </c>
      <c r="AL10" s="93" t="s">
        <v>421</v>
      </c>
      <c r="AM10" s="93" t="s">
        <v>421</v>
      </c>
      <c r="AN10" s="93" t="s">
        <v>421</v>
      </c>
      <c r="AO10" s="93" t="s">
        <v>421</v>
      </c>
      <c r="AP10" s="93" t="s">
        <v>421</v>
      </c>
      <c r="AQ10" s="93" t="s">
        <v>421</v>
      </c>
      <c r="AR10" s="93" t="s">
        <v>421</v>
      </c>
      <c r="AS10" s="93" t="s">
        <v>421</v>
      </c>
      <c r="AT10" s="93" t="s">
        <v>421</v>
      </c>
      <c r="AU10" s="93" t="s">
        <v>421</v>
      </c>
      <c r="AV10" s="93" t="s">
        <v>421</v>
      </c>
      <c r="AW10" s="93" t="s">
        <v>421</v>
      </c>
      <c r="AX10" s="93" t="s">
        <v>421</v>
      </c>
      <c r="AY10" s="93" t="s">
        <v>421</v>
      </c>
      <c r="AZ10" s="93" t="s">
        <v>421</v>
      </c>
      <c r="BA10" s="93" t="s">
        <v>421</v>
      </c>
      <c r="BB10" s="93" t="s">
        <v>421</v>
      </c>
      <c r="BC10" s="93">
        <v>91080</v>
      </c>
      <c r="BD10" s="93">
        <v>12</v>
      </c>
      <c r="BE10" s="93" t="s">
        <v>421</v>
      </c>
      <c r="BF10" s="93" t="str">
        <f>IFERROR(VLOOKUP(CONCATENATE($A10,$E10),BDKITS!$A:$BG,BF$1,0),"")</f>
        <v/>
      </c>
      <c r="BG10" s="93" t="str">
        <f>IFERROR(VLOOKUP(CONCATENATE($A10,$E10),BDKITS!$A:$BG,BG$1,0),"")</f>
        <v/>
      </c>
      <c r="BH10" s="92" t="str">
        <f>IF(B10="","",B10)</f>
        <v/>
      </c>
      <c r="BI10" s="92" t="str">
        <f>IF(C10="","",C10)</f>
        <v/>
      </c>
      <c r="BJ10" s="57" t="str">
        <f>IFERROR(VLOOKUP(CONCATENATE($A10,$E10),BDKITS!$A:$BG,BJ$1,0),"")</f>
        <v/>
      </c>
      <c r="BP10"/>
      <c r="BQ10"/>
      <c r="BR10"/>
      <c r="BS10"/>
      <c r="BT10"/>
      <c r="BU10" s="15" t="s">
        <v>421</v>
      </c>
      <c r="BV10"/>
      <c r="BW10"/>
      <c r="BX10"/>
      <c r="BY10"/>
      <c r="BZ10"/>
      <c r="CA10"/>
      <c r="CB10"/>
    </row>
    <row r="11" spans="1:80" x14ac:dyDescent="0.3">
      <c r="A11" s="98" t="s">
        <v>421</v>
      </c>
      <c r="B11" s="90" t="s">
        <v>421</v>
      </c>
      <c r="C11" s="90" t="s">
        <v>421</v>
      </c>
      <c r="D11" s="90" t="s">
        <v>421</v>
      </c>
      <c r="E11" s="91" t="s">
        <v>421</v>
      </c>
      <c r="F11" s="92" t="s">
        <v>421</v>
      </c>
      <c r="G11" s="92" t="s">
        <v>421</v>
      </c>
      <c r="H11" s="93" t="s">
        <v>421</v>
      </c>
      <c r="I11" s="93" t="s">
        <v>421</v>
      </c>
      <c r="J11" s="93" t="s">
        <v>421</v>
      </c>
      <c r="K11" s="93" t="s">
        <v>421</v>
      </c>
      <c r="L11" s="93" t="s">
        <v>421</v>
      </c>
      <c r="M11" s="93" t="s">
        <v>421</v>
      </c>
      <c r="N11" s="93" t="s">
        <v>421</v>
      </c>
      <c r="O11" s="93" t="s">
        <v>421</v>
      </c>
      <c r="P11" s="93" t="s">
        <v>421</v>
      </c>
      <c r="Q11" s="93" t="s">
        <v>421</v>
      </c>
      <c r="R11" s="93" t="s">
        <v>421</v>
      </c>
      <c r="S11" s="93" t="s">
        <v>421</v>
      </c>
      <c r="T11" s="93" t="s">
        <v>421</v>
      </c>
      <c r="U11" s="93" t="s">
        <v>421</v>
      </c>
      <c r="V11" s="93" t="s">
        <v>421</v>
      </c>
      <c r="W11" s="93" t="s">
        <v>421</v>
      </c>
      <c r="X11" s="93" t="s">
        <v>421</v>
      </c>
      <c r="Y11" s="93" t="s">
        <v>421</v>
      </c>
      <c r="Z11" s="93" t="s">
        <v>421</v>
      </c>
      <c r="AA11" s="93" t="s">
        <v>421</v>
      </c>
      <c r="AB11" s="93" t="s">
        <v>421</v>
      </c>
      <c r="AC11" s="93" t="s">
        <v>421</v>
      </c>
      <c r="AD11" s="93" t="s">
        <v>421</v>
      </c>
      <c r="AE11" s="93" t="s">
        <v>421</v>
      </c>
      <c r="AF11" s="93" t="s">
        <v>421</v>
      </c>
      <c r="AG11" s="93" t="s">
        <v>421</v>
      </c>
      <c r="AH11" s="93" t="s">
        <v>421</v>
      </c>
      <c r="AI11" s="93" t="s">
        <v>421</v>
      </c>
      <c r="AJ11" s="93" t="s">
        <v>421</v>
      </c>
      <c r="AK11" s="93" t="s">
        <v>421</v>
      </c>
      <c r="AL11" s="93" t="s">
        <v>421</v>
      </c>
      <c r="AM11" s="93" t="s">
        <v>421</v>
      </c>
      <c r="AN11" s="93" t="s">
        <v>421</v>
      </c>
      <c r="AO11" s="93" t="s">
        <v>421</v>
      </c>
      <c r="AP11" s="93" t="s">
        <v>421</v>
      </c>
      <c r="AQ11" s="93" t="s">
        <v>421</v>
      </c>
      <c r="AR11" s="93" t="s">
        <v>421</v>
      </c>
      <c r="AS11" s="93" t="s">
        <v>421</v>
      </c>
      <c r="AT11" s="93" t="s">
        <v>421</v>
      </c>
      <c r="AU11" s="93" t="s">
        <v>421</v>
      </c>
      <c r="AV11" s="93" t="s">
        <v>421</v>
      </c>
      <c r="AW11" s="93" t="s">
        <v>421</v>
      </c>
      <c r="AX11" s="93" t="s">
        <v>421</v>
      </c>
      <c r="AY11" s="93" t="s">
        <v>421</v>
      </c>
      <c r="AZ11" s="93" t="s">
        <v>421</v>
      </c>
      <c r="BA11" s="93" t="s">
        <v>421</v>
      </c>
      <c r="BB11" s="93" t="s">
        <v>421</v>
      </c>
      <c r="BC11" s="93">
        <v>91080</v>
      </c>
      <c r="BD11" s="93">
        <v>12</v>
      </c>
      <c r="BE11" s="93" t="s">
        <v>421</v>
      </c>
      <c r="BF11" s="93" t="str">
        <f>IFERROR(VLOOKUP(CONCATENATE($A11,$E11),BDKITS!$A:$BG,BF$1,0),"")</f>
        <v/>
      </c>
      <c r="BG11" s="93" t="str">
        <f>IFERROR(VLOOKUP(CONCATENATE($A11,$E11),BDKITS!$A:$BG,BG$1,0),"")</f>
        <v/>
      </c>
      <c r="BH11" s="92" t="str">
        <f>IF(B11="","",B11)</f>
        <v/>
      </c>
      <c r="BI11" s="92" t="str">
        <f>IF(C11="","",C11)</f>
        <v/>
      </c>
      <c r="BJ11" s="57" t="str">
        <f>IFERROR(VLOOKUP(CONCATENATE($A11,$E11),BDKITS!$A:$BG,BJ$1,0),"")</f>
        <v/>
      </c>
      <c r="BP11"/>
      <c r="BQ11"/>
      <c r="BR11"/>
      <c r="BS11"/>
      <c r="BT11"/>
      <c r="BU11" s="15" t="s">
        <v>421</v>
      </c>
      <c r="BV11"/>
      <c r="BW11"/>
      <c r="BX11"/>
      <c r="BY11"/>
      <c r="BZ11"/>
      <c r="CA11"/>
      <c r="CB11"/>
    </row>
    <row r="12" spans="1:80" x14ac:dyDescent="0.3">
      <c r="A12" s="98" t="s">
        <v>421</v>
      </c>
      <c r="B12" s="90" t="s">
        <v>421</v>
      </c>
      <c r="C12" s="90" t="s">
        <v>421</v>
      </c>
      <c r="D12" s="90" t="s">
        <v>421</v>
      </c>
      <c r="E12" s="91" t="s">
        <v>421</v>
      </c>
      <c r="F12" s="92" t="s">
        <v>421</v>
      </c>
      <c r="G12" s="92" t="s">
        <v>421</v>
      </c>
      <c r="H12" s="93" t="s">
        <v>421</v>
      </c>
      <c r="I12" s="93" t="s">
        <v>421</v>
      </c>
      <c r="J12" s="93" t="s">
        <v>421</v>
      </c>
      <c r="K12" s="93" t="s">
        <v>421</v>
      </c>
      <c r="L12" s="93" t="s">
        <v>421</v>
      </c>
      <c r="M12" s="93" t="s">
        <v>421</v>
      </c>
      <c r="N12" s="93" t="s">
        <v>421</v>
      </c>
      <c r="O12" s="93" t="s">
        <v>421</v>
      </c>
      <c r="P12" s="93" t="s">
        <v>421</v>
      </c>
      <c r="Q12" s="93" t="s">
        <v>421</v>
      </c>
      <c r="R12" s="93" t="s">
        <v>421</v>
      </c>
      <c r="S12" s="93" t="s">
        <v>421</v>
      </c>
      <c r="T12" s="93" t="s">
        <v>421</v>
      </c>
      <c r="U12" s="93" t="s">
        <v>421</v>
      </c>
      <c r="V12" s="93" t="s">
        <v>421</v>
      </c>
      <c r="W12" s="93" t="s">
        <v>421</v>
      </c>
      <c r="X12" s="93" t="s">
        <v>421</v>
      </c>
      <c r="Y12" s="93" t="s">
        <v>421</v>
      </c>
      <c r="Z12" s="93" t="s">
        <v>421</v>
      </c>
      <c r="AA12" s="93" t="s">
        <v>421</v>
      </c>
      <c r="AB12" s="93" t="s">
        <v>421</v>
      </c>
      <c r="AC12" s="93" t="s">
        <v>421</v>
      </c>
      <c r="AD12" s="93" t="s">
        <v>421</v>
      </c>
      <c r="AE12" s="93" t="s">
        <v>421</v>
      </c>
      <c r="AF12" s="93" t="s">
        <v>421</v>
      </c>
      <c r="AG12" s="93" t="s">
        <v>421</v>
      </c>
      <c r="AH12" s="93" t="s">
        <v>421</v>
      </c>
      <c r="AI12" s="93" t="s">
        <v>421</v>
      </c>
      <c r="AJ12" s="93" t="s">
        <v>421</v>
      </c>
      <c r="AK12" s="93" t="s">
        <v>421</v>
      </c>
      <c r="AL12" s="93" t="s">
        <v>421</v>
      </c>
      <c r="AM12" s="93" t="s">
        <v>421</v>
      </c>
      <c r="AN12" s="93" t="s">
        <v>421</v>
      </c>
      <c r="AO12" s="93" t="s">
        <v>421</v>
      </c>
      <c r="AP12" s="93" t="s">
        <v>421</v>
      </c>
      <c r="AQ12" s="93" t="s">
        <v>421</v>
      </c>
      <c r="AR12" s="93" t="s">
        <v>421</v>
      </c>
      <c r="AS12" s="93" t="s">
        <v>421</v>
      </c>
      <c r="AT12" s="93" t="s">
        <v>421</v>
      </c>
      <c r="AU12" s="93" t="s">
        <v>421</v>
      </c>
      <c r="AV12" s="93" t="s">
        <v>421</v>
      </c>
      <c r="AW12" s="93" t="s">
        <v>421</v>
      </c>
      <c r="AX12" s="93" t="s">
        <v>421</v>
      </c>
      <c r="AY12" s="93" t="s">
        <v>421</v>
      </c>
      <c r="AZ12" s="93" t="s">
        <v>421</v>
      </c>
      <c r="BA12" s="93" t="s">
        <v>421</v>
      </c>
      <c r="BB12" s="93" t="s">
        <v>421</v>
      </c>
      <c r="BC12" s="93">
        <v>91080</v>
      </c>
      <c r="BD12" s="93">
        <v>12</v>
      </c>
      <c r="BE12" s="93" t="s">
        <v>421</v>
      </c>
      <c r="BF12" s="93" t="str">
        <f>IFERROR(VLOOKUP(CONCATENATE($A12,$E12),BDKITS!$A:$BG,BF$1,0),"")</f>
        <v/>
      </c>
      <c r="BG12" s="93" t="str">
        <f>IFERROR(VLOOKUP(CONCATENATE($A12,$E12),BDKITS!$A:$BG,BG$1,0),"")</f>
        <v/>
      </c>
      <c r="BH12" s="92" t="str">
        <f>IF(B12="","",B12)</f>
        <v/>
      </c>
      <c r="BI12" s="92" t="str">
        <f>IF(C12="","",C12)</f>
        <v/>
      </c>
      <c r="BJ12" s="57" t="str">
        <f>IFERROR(VLOOKUP(CONCATENATE($A12,$E12),BDKITS!$A:$BG,BJ$1,0),"")</f>
        <v/>
      </c>
      <c r="BP12"/>
      <c r="BQ12"/>
      <c r="BR12"/>
      <c r="BS12"/>
      <c r="BT12"/>
      <c r="BU12" s="15" t="s">
        <v>421</v>
      </c>
      <c r="BV12"/>
      <c r="BW12"/>
      <c r="BX12"/>
      <c r="BY12"/>
      <c r="BZ12"/>
      <c r="CA12"/>
      <c r="CB12"/>
    </row>
    <row r="13" spans="1:80" x14ac:dyDescent="0.3">
      <c r="A13" s="98" t="s">
        <v>421</v>
      </c>
      <c r="B13" s="90" t="s">
        <v>421</v>
      </c>
      <c r="C13" s="90" t="s">
        <v>421</v>
      </c>
      <c r="D13" s="90" t="s">
        <v>421</v>
      </c>
      <c r="E13" s="91" t="s">
        <v>421</v>
      </c>
      <c r="F13" s="92" t="s">
        <v>421</v>
      </c>
      <c r="G13" s="92" t="s">
        <v>421</v>
      </c>
      <c r="H13" s="93" t="s">
        <v>421</v>
      </c>
      <c r="I13" s="93" t="s">
        <v>421</v>
      </c>
      <c r="J13" s="93" t="s">
        <v>421</v>
      </c>
      <c r="K13" s="93" t="s">
        <v>421</v>
      </c>
      <c r="L13" s="93" t="s">
        <v>421</v>
      </c>
      <c r="M13" s="93" t="s">
        <v>421</v>
      </c>
      <c r="N13" s="93" t="s">
        <v>421</v>
      </c>
      <c r="O13" s="93" t="s">
        <v>421</v>
      </c>
      <c r="P13" s="93" t="s">
        <v>421</v>
      </c>
      <c r="Q13" s="93" t="s">
        <v>421</v>
      </c>
      <c r="R13" s="93" t="s">
        <v>421</v>
      </c>
      <c r="S13" s="93" t="s">
        <v>421</v>
      </c>
      <c r="T13" s="93" t="s">
        <v>421</v>
      </c>
      <c r="U13" s="93" t="s">
        <v>421</v>
      </c>
      <c r="V13" s="93" t="s">
        <v>421</v>
      </c>
      <c r="W13" s="93" t="s">
        <v>421</v>
      </c>
      <c r="X13" s="93" t="s">
        <v>421</v>
      </c>
      <c r="Y13" s="93" t="s">
        <v>421</v>
      </c>
      <c r="Z13" s="93" t="s">
        <v>421</v>
      </c>
      <c r="AA13" s="93" t="s">
        <v>421</v>
      </c>
      <c r="AB13" s="93" t="s">
        <v>421</v>
      </c>
      <c r="AC13" s="93" t="s">
        <v>421</v>
      </c>
      <c r="AD13" s="93" t="s">
        <v>421</v>
      </c>
      <c r="AE13" s="93" t="s">
        <v>421</v>
      </c>
      <c r="AF13" s="93" t="s">
        <v>421</v>
      </c>
      <c r="AG13" s="93" t="s">
        <v>421</v>
      </c>
      <c r="AH13" s="93" t="s">
        <v>421</v>
      </c>
      <c r="AI13" s="93" t="s">
        <v>421</v>
      </c>
      <c r="AJ13" s="93" t="s">
        <v>421</v>
      </c>
      <c r="AK13" s="93" t="s">
        <v>421</v>
      </c>
      <c r="AL13" s="93" t="s">
        <v>421</v>
      </c>
      <c r="AM13" s="93" t="s">
        <v>421</v>
      </c>
      <c r="AN13" s="93" t="s">
        <v>421</v>
      </c>
      <c r="AO13" s="93" t="s">
        <v>421</v>
      </c>
      <c r="AP13" s="93" t="s">
        <v>421</v>
      </c>
      <c r="AQ13" s="93" t="s">
        <v>421</v>
      </c>
      <c r="AR13" s="93" t="s">
        <v>421</v>
      </c>
      <c r="AS13" s="93" t="s">
        <v>421</v>
      </c>
      <c r="AT13" s="93" t="s">
        <v>421</v>
      </c>
      <c r="AU13" s="93" t="s">
        <v>421</v>
      </c>
      <c r="AV13" s="93" t="s">
        <v>421</v>
      </c>
      <c r="AW13" s="93" t="s">
        <v>421</v>
      </c>
      <c r="AX13" s="93" t="s">
        <v>421</v>
      </c>
      <c r="AY13" s="93" t="s">
        <v>421</v>
      </c>
      <c r="AZ13" s="93" t="s">
        <v>421</v>
      </c>
      <c r="BA13" s="93" t="s">
        <v>421</v>
      </c>
      <c r="BB13" s="93" t="s">
        <v>421</v>
      </c>
      <c r="BC13" s="93">
        <v>91080</v>
      </c>
      <c r="BD13" s="93">
        <v>12</v>
      </c>
      <c r="BE13" s="93" t="s">
        <v>421</v>
      </c>
      <c r="BF13" s="93" t="str">
        <f>IFERROR(VLOOKUP(CONCATENATE($A13,$E13),BDKITS!$A:$BG,BF$1,0),"")</f>
        <v/>
      </c>
      <c r="BG13" s="93" t="str">
        <f>IFERROR(VLOOKUP(CONCATENATE($A13,$E13),BDKITS!$A:$BG,BG$1,0),"")</f>
        <v/>
      </c>
      <c r="BH13" s="92" t="str">
        <f>IF(B13="","",B13)</f>
        <v/>
      </c>
      <c r="BI13" s="92" t="str">
        <f>IF(C13="","",C13)</f>
        <v/>
      </c>
      <c r="BJ13" s="57" t="str">
        <f>IFERROR(VLOOKUP(CONCATENATE($A13,$E13),BDKITS!$A:$BG,BJ$1,0),"")</f>
        <v/>
      </c>
      <c r="BP13"/>
      <c r="BQ13"/>
      <c r="BR13"/>
      <c r="BS13"/>
      <c r="BT13"/>
      <c r="BU13" s="15" t="s">
        <v>421</v>
      </c>
      <c r="BV13"/>
      <c r="BW13"/>
      <c r="BX13"/>
      <c r="BY13"/>
      <c r="BZ13"/>
      <c r="CA13"/>
      <c r="CB13"/>
    </row>
    <row r="14" spans="1:80" x14ac:dyDescent="0.3">
      <c r="A14" s="98" t="s">
        <v>421</v>
      </c>
      <c r="B14" s="90" t="s">
        <v>421</v>
      </c>
      <c r="C14" s="90" t="s">
        <v>421</v>
      </c>
      <c r="D14" s="90" t="s">
        <v>421</v>
      </c>
      <c r="E14" s="91" t="s">
        <v>421</v>
      </c>
      <c r="F14" s="92" t="s">
        <v>421</v>
      </c>
      <c r="G14" s="92" t="s">
        <v>421</v>
      </c>
      <c r="H14" s="93" t="s">
        <v>421</v>
      </c>
      <c r="I14" s="93" t="s">
        <v>421</v>
      </c>
      <c r="J14" s="93" t="s">
        <v>421</v>
      </c>
      <c r="K14" s="93" t="s">
        <v>421</v>
      </c>
      <c r="L14" s="93" t="s">
        <v>421</v>
      </c>
      <c r="M14" s="93" t="s">
        <v>421</v>
      </c>
      <c r="N14" s="93" t="s">
        <v>421</v>
      </c>
      <c r="O14" s="93" t="s">
        <v>421</v>
      </c>
      <c r="P14" s="93" t="s">
        <v>421</v>
      </c>
      <c r="Q14" s="93" t="s">
        <v>421</v>
      </c>
      <c r="R14" s="93" t="s">
        <v>421</v>
      </c>
      <c r="S14" s="93" t="s">
        <v>421</v>
      </c>
      <c r="T14" s="93" t="s">
        <v>421</v>
      </c>
      <c r="U14" s="93" t="s">
        <v>421</v>
      </c>
      <c r="V14" s="93" t="s">
        <v>421</v>
      </c>
      <c r="W14" s="93" t="s">
        <v>421</v>
      </c>
      <c r="X14" s="93" t="s">
        <v>421</v>
      </c>
      <c r="Y14" s="93" t="s">
        <v>421</v>
      </c>
      <c r="Z14" s="93" t="s">
        <v>421</v>
      </c>
      <c r="AA14" s="93" t="s">
        <v>421</v>
      </c>
      <c r="AB14" s="93" t="s">
        <v>421</v>
      </c>
      <c r="AC14" s="93" t="s">
        <v>421</v>
      </c>
      <c r="AD14" s="93" t="s">
        <v>421</v>
      </c>
      <c r="AE14" s="93" t="s">
        <v>421</v>
      </c>
      <c r="AF14" s="93" t="s">
        <v>421</v>
      </c>
      <c r="AG14" s="93" t="s">
        <v>421</v>
      </c>
      <c r="AH14" s="93" t="s">
        <v>421</v>
      </c>
      <c r="AI14" s="93" t="s">
        <v>421</v>
      </c>
      <c r="AJ14" s="93" t="s">
        <v>421</v>
      </c>
      <c r="AK14" s="93" t="s">
        <v>421</v>
      </c>
      <c r="AL14" s="93" t="s">
        <v>421</v>
      </c>
      <c r="AM14" s="93" t="s">
        <v>421</v>
      </c>
      <c r="AN14" s="93" t="s">
        <v>421</v>
      </c>
      <c r="AO14" s="93" t="s">
        <v>421</v>
      </c>
      <c r="AP14" s="93" t="s">
        <v>421</v>
      </c>
      <c r="AQ14" s="93" t="s">
        <v>421</v>
      </c>
      <c r="AR14" s="93" t="s">
        <v>421</v>
      </c>
      <c r="AS14" s="93" t="s">
        <v>421</v>
      </c>
      <c r="AT14" s="93" t="s">
        <v>421</v>
      </c>
      <c r="AU14" s="93" t="s">
        <v>421</v>
      </c>
      <c r="AV14" s="93" t="s">
        <v>421</v>
      </c>
      <c r="AW14" s="93" t="s">
        <v>421</v>
      </c>
      <c r="AX14" s="93" t="s">
        <v>421</v>
      </c>
      <c r="AY14" s="93" t="s">
        <v>421</v>
      </c>
      <c r="AZ14" s="93" t="s">
        <v>421</v>
      </c>
      <c r="BA14" s="93" t="s">
        <v>421</v>
      </c>
      <c r="BB14" s="93" t="s">
        <v>421</v>
      </c>
      <c r="BC14" s="93">
        <v>91080</v>
      </c>
      <c r="BD14" s="93">
        <v>12</v>
      </c>
      <c r="BE14" s="93" t="s">
        <v>421</v>
      </c>
      <c r="BF14" s="93" t="str">
        <f>IFERROR(VLOOKUP(CONCATENATE($A14,$E14),BDKITS!$A:$BG,BF$1,0),"")</f>
        <v/>
      </c>
      <c r="BG14" s="93" t="str">
        <f>IFERROR(VLOOKUP(CONCATENATE($A14,$E14),BDKITS!$A:$BG,BG$1,0),"")</f>
        <v/>
      </c>
      <c r="BH14" s="92" t="str">
        <f>IF(B14="","",B14)</f>
        <v/>
      </c>
      <c r="BI14" s="92" t="str">
        <f>IF(C14="","",C14)</f>
        <v/>
      </c>
      <c r="BJ14" s="57" t="str">
        <f>IFERROR(VLOOKUP(CONCATENATE($A14,$E14),BDKITS!$A:$BG,BJ$1,0),"")</f>
        <v/>
      </c>
      <c r="BP14"/>
      <c r="BQ14"/>
      <c r="BR14"/>
      <c r="BS14"/>
      <c r="BT14"/>
      <c r="BU14" s="15" t="s">
        <v>421</v>
      </c>
      <c r="BV14"/>
      <c r="BW14"/>
      <c r="BX14"/>
      <c r="BY14"/>
      <c r="BZ14"/>
      <c r="CA14"/>
      <c r="CB14"/>
    </row>
    <row r="15" spans="1:80" x14ac:dyDescent="0.3">
      <c r="A15" s="98" t="s">
        <v>421</v>
      </c>
      <c r="B15" s="90" t="s">
        <v>421</v>
      </c>
      <c r="C15" s="90" t="s">
        <v>421</v>
      </c>
      <c r="D15" s="90" t="s">
        <v>421</v>
      </c>
      <c r="E15" s="91" t="s">
        <v>421</v>
      </c>
      <c r="F15" s="92" t="s">
        <v>421</v>
      </c>
      <c r="G15" s="92" t="s">
        <v>421</v>
      </c>
      <c r="H15" s="93" t="s">
        <v>421</v>
      </c>
      <c r="I15" s="93" t="s">
        <v>421</v>
      </c>
      <c r="J15" s="93" t="s">
        <v>421</v>
      </c>
      <c r="K15" s="93" t="s">
        <v>421</v>
      </c>
      <c r="L15" s="93" t="s">
        <v>421</v>
      </c>
      <c r="M15" s="93" t="s">
        <v>421</v>
      </c>
      <c r="N15" s="93" t="s">
        <v>421</v>
      </c>
      <c r="O15" s="93" t="s">
        <v>421</v>
      </c>
      <c r="P15" s="93" t="s">
        <v>421</v>
      </c>
      <c r="Q15" s="93" t="s">
        <v>421</v>
      </c>
      <c r="R15" s="93" t="s">
        <v>421</v>
      </c>
      <c r="S15" s="93" t="s">
        <v>421</v>
      </c>
      <c r="T15" s="93" t="s">
        <v>421</v>
      </c>
      <c r="U15" s="93" t="s">
        <v>421</v>
      </c>
      <c r="V15" s="93" t="s">
        <v>421</v>
      </c>
      <c r="W15" s="93" t="s">
        <v>421</v>
      </c>
      <c r="X15" s="93" t="s">
        <v>421</v>
      </c>
      <c r="Y15" s="93" t="s">
        <v>421</v>
      </c>
      <c r="Z15" s="93" t="s">
        <v>421</v>
      </c>
      <c r="AA15" s="93" t="s">
        <v>421</v>
      </c>
      <c r="AB15" s="93" t="s">
        <v>421</v>
      </c>
      <c r="AC15" s="93" t="s">
        <v>421</v>
      </c>
      <c r="AD15" s="93" t="s">
        <v>421</v>
      </c>
      <c r="AE15" s="93" t="s">
        <v>421</v>
      </c>
      <c r="AF15" s="93" t="s">
        <v>421</v>
      </c>
      <c r="AG15" s="93" t="s">
        <v>421</v>
      </c>
      <c r="AH15" s="93" t="s">
        <v>421</v>
      </c>
      <c r="AI15" s="93" t="s">
        <v>421</v>
      </c>
      <c r="AJ15" s="93" t="s">
        <v>421</v>
      </c>
      <c r="AK15" s="93" t="s">
        <v>421</v>
      </c>
      <c r="AL15" s="93" t="s">
        <v>421</v>
      </c>
      <c r="AM15" s="93" t="s">
        <v>421</v>
      </c>
      <c r="AN15" s="93" t="s">
        <v>421</v>
      </c>
      <c r="AO15" s="93" t="s">
        <v>421</v>
      </c>
      <c r="AP15" s="93" t="s">
        <v>421</v>
      </c>
      <c r="AQ15" s="93" t="s">
        <v>421</v>
      </c>
      <c r="AR15" s="93" t="s">
        <v>421</v>
      </c>
      <c r="AS15" s="93" t="s">
        <v>421</v>
      </c>
      <c r="AT15" s="93" t="s">
        <v>421</v>
      </c>
      <c r="AU15" s="93" t="s">
        <v>421</v>
      </c>
      <c r="AV15" s="93" t="s">
        <v>421</v>
      </c>
      <c r="AW15" s="93" t="s">
        <v>421</v>
      </c>
      <c r="AX15" s="93" t="s">
        <v>421</v>
      </c>
      <c r="AY15" s="93" t="s">
        <v>421</v>
      </c>
      <c r="AZ15" s="93" t="s">
        <v>421</v>
      </c>
      <c r="BA15" s="93" t="s">
        <v>421</v>
      </c>
      <c r="BB15" s="93" t="s">
        <v>421</v>
      </c>
      <c r="BC15" s="93">
        <v>91080</v>
      </c>
      <c r="BD15" s="93">
        <v>12</v>
      </c>
      <c r="BE15" s="93" t="s">
        <v>421</v>
      </c>
      <c r="BF15" s="93" t="str">
        <f>IFERROR(VLOOKUP(CONCATENATE($A15,$E15),BDKITS!$A:$BG,BF$1,0),"")</f>
        <v/>
      </c>
      <c r="BG15" s="93" t="str">
        <f>IFERROR(VLOOKUP(CONCATENATE($A15,$E15),BDKITS!$A:$BG,BG$1,0),"")</f>
        <v/>
      </c>
      <c r="BH15" s="92" t="str">
        <f>IF(B15="","",B15)</f>
        <v/>
      </c>
      <c r="BI15" s="92" t="str">
        <f>IF(C15="","",C15)</f>
        <v/>
      </c>
      <c r="BJ15" s="57" t="str">
        <f>IFERROR(VLOOKUP(CONCATENATE($A15,$E15),BDKITS!$A:$BG,BJ$1,0),"")</f>
        <v/>
      </c>
      <c r="BP15"/>
      <c r="BQ15"/>
      <c r="BR15"/>
      <c r="BS15"/>
      <c r="BT15"/>
      <c r="BU15" s="15" t="s">
        <v>421</v>
      </c>
      <c r="BV15"/>
      <c r="BW15"/>
      <c r="BX15"/>
      <c r="BY15"/>
      <c r="BZ15"/>
      <c r="CA15"/>
      <c r="CB15"/>
    </row>
    <row r="16" spans="1:80" x14ac:dyDescent="0.3">
      <c r="A16" s="98" t="s">
        <v>421</v>
      </c>
      <c r="B16" s="90" t="s">
        <v>421</v>
      </c>
      <c r="C16" s="90" t="s">
        <v>421</v>
      </c>
      <c r="D16" s="90" t="s">
        <v>421</v>
      </c>
      <c r="E16" s="91" t="s">
        <v>421</v>
      </c>
      <c r="F16" s="92" t="s">
        <v>421</v>
      </c>
      <c r="G16" s="92" t="s">
        <v>421</v>
      </c>
      <c r="H16" s="93" t="s">
        <v>421</v>
      </c>
      <c r="I16" s="93" t="s">
        <v>421</v>
      </c>
      <c r="J16" s="93" t="s">
        <v>421</v>
      </c>
      <c r="K16" s="93" t="s">
        <v>421</v>
      </c>
      <c r="L16" s="93" t="s">
        <v>421</v>
      </c>
      <c r="M16" s="93" t="s">
        <v>421</v>
      </c>
      <c r="N16" s="93" t="s">
        <v>421</v>
      </c>
      <c r="O16" s="93" t="s">
        <v>421</v>
      </c>
      <c r="P16" s="93" t="s">
        <v>421</v>
      </c>
      <c r="Q16" s="93" t="s">
        <v>421</v>
      </c>
      <c r="R16" s="93" t="s">
        <v>421</v>
      </c>
      <c r="S16" s="93" t="s">
        <v>421</v>
      </c>
      <c r="T16" s="93" t="s">
        <v>421</v>
      </c>
      <c r="U16" s="93" t="s">
        <v>421</v>
      </c>
      <c r="V16" s="93" t="s">
        <v>421</v>
      </c>
      <c r="W16" s="93" t="s">
        <v>421</v>
      </c>
      <c r="X16" s="93" t="s">
        <v>421</v>
      </c>
      <c r="Y16" s="93" t="s">
        <v>421</v>
      </c>
      <c r="Z16" s="93" t="s">
        <v>421</v>
      </c>
      <c r="AA16" s="93" t="s">
        <v>421</v>
      </c>
      <c r="AB16" s="93" t="s">
        <v>421</v>
      </c>
      <c r="AC16" s="93" t="s">
        <v>421</v>
      </c>
      <c r="AD16" s="93" t="s">
        <v>421</v>
      </c>
      <c r="AE16" s="93" t="s">
        <v>421</v>
      </c>
      <c r="AF16" s="93" t="s">
        <v>421</v>
      </c>
      <c r="AG16" s="93" t="s">
        <v>421</v>
      </c>
      <c r="AH16" s="93" t="s">
        <v>421</v>
      </c>
      <c r="AI16" s="93" t="s">
        <v>421</v>
      </c>
      <c r="AJ16" s="93" t="s">
        <v>421</v>
      </c>
      <c r="AK16" s="93" t="s">
        <v>421</v>
      </c>
      <c r="AL16" s="93" t="s">
        <v>421</v>
      </c>
      <c r="AM16" s="93" t="s">
        <v>421</v>
      </c>
      <c r="AN16" s="93" t="s">
        <v>421</v>
      </c>
      <c r="AO16" s="93" t="s">
        <v>421</v>
      </c>
      <c r="AP16" s="93" t="s">
        <v>421</v>
      </c>
      <c r="AQ16" s="93" t="s">
        <v>421</v>
      </c>
      <c r="AR16" s="93" t="s">
        <v>421</v>
      </c>
      <c r="AS16" s="93" t="s">
        <v>421</v>
      </c>
      <c r="AT16" s="93" t="s">
        <v>421</v>
      </c>
      <c r="AU16" s="93" t="s">
        <v>421</v>
      </c>
      <c r="AV16" s="93" t="s">
        <v>421</v>
      </c>
      <c r="AW16" s="93" t="s">
        <v>421</v>
      </c>
      <c r="AX16" s="93" t="s">
        <v>421</v>
      </c>
      <c r="AY16" s="93" t="s">
        <v>421</v>
      </c>
      <c r="AZ16" s="93" t="s">
        <v>421</v>
      </c>
      <c r="BA16" s="93" t="s">
        <v>421</v>
      </c>
      <c r="BB16" s="93" t="s">
        <v>421</v>
      </c>
      <c r="BC16" s="93">
        <v>91080</v>
      </c>
      <c r="BD16" s="93">
        <v>12</v>
      </c>
      <c r="BE16" s="93" t="s">
        <v>421</v>
      </c>
      <c r="BF16" s="93" t="str">
        <f>IFERROR(VLOOKUP(CONCATENATE($A16,$E16),BDKITS!$A:$BG,BF$1,0),"")</f>
        <v/>
      </c>
      <c r="BG16" s="93" t="str">
        <f>IFERROR(VLOOKUP(CONCATENATE($A16,$E16),BDKITS!$A:$BG,BG$1,0),"")</f>
        <v/>
      </c>
      <c r="BH16" s="92" t="str">
        <f>IF(B16="","",B16)</f>
        <v/>
      </c>
      <c r="BI16" s="92" t="str">
        <f>IF(C16="","",C16)</f>
        <v/>
      </c>
      <c r="BJ16" s="57" t="str">
        <f>IFERROR(VLOOKUP(CONCATENATE($A16,$E16),BDKITS!$A:$BG,BJ$1,0),"")</f>
        <v/>
      </c>
      <c r="BP16"/>
      <c r="BQ16"/>
      <c r="BR16"/>
      <c r="BS16"/>
      <c r="BT16"/>
      <c r="BU16" s="15" t="s">
        <v>421</v>
      </c>
      <c r="BV16"/>
      <c r="BW16"/>
      <c r="BX16"/>
      <c r="BY16"/>
      <c r="BZ16"/>
      <c r="CA16"/>
      <c r="CB16"/>
    </row>
    <row r="17" spans="1:80" x14ac:dyDescent="0.3">
      <c r="A17" t="s">
        <v>429</v>
      </c>
      <c r="B17" s="90" t="s">
        <v>421</v>
      </c>
      <c r="C17" s="90" t="s">
        <v>421</v>
      </c>
      <c r="D17" s="90" t="s">
        <v>421</v>
      </c>
      <c r="E17" s="91" t="s">
        <v>421</v>
      </c>
      <c r="F17" s="92" t="s">
        <v>421</v>
      </c>
      <c r="G17" s="92" t="s">
        <v>421</v>
      </c>
      <c r="H17" s="93" t="s">
        <v>421</v>
      </c>
      <c r="I17" s="93" t="s">
        <v>421</v>
      </c>
      <c r="J17" s="93" t="s">
        <v>421</v>
      </c>
      <c r="K17" s="93" t="s">
        <v>421</v>
      </c>
      <c r="L17" s="93" t="s">
        <v>421</v>
      </c>
      <c r="M17" s="93" t="s">
        <v>421</v>
      </c>
      <c r="N17" s="93" t="s">
        <v>421</v>
      </c>
      <c r="O17" s="93" t="s">
        <v>421</v>
      </c>
      <c r="P17" s="93" t="s">
        <v>421</v>
      </c>
      <c r="Q17" s="93" t="s">
        <v>421</v>
      </c>
      <c r="R17" s="93" t="s">
        <v>421</v>
      </c>
      <c r="S17" s="93" t="s">
        <v>421</v>
      </c>
      <c r="T17" s="93" t="s">
        <v>421</v>
      </c>
      <c r="U17" s="93" t="s">
        <v>421</v>
      </c>
      <c r="V17" s="93" t="s">
        <v>421</v>
      </c>
      <c r="W17" s="93" t="s">
        <v>421</v>
      </c>
      <c r="X17" s="93" t="s">
        <v>421</v>
      </c>
      <c r="Y17" s="93" t="s">
        <v>421</v>
      </c>
      <c r="Z17" s="93" t="s">
        <v>421</v>
      </c>
      <c r="AA17" s="93" t="s">
        <v>421</v>
      </c>
      <c r="AB17" s="93" t="s">
        <v>421</v>
      </c>
      <c r="AC17" s="93" t="s">
        <v>421</v>
      </c>
      <c r="AD17" s="93" t="s">
        <v>421</v>
      </c>
      <c r="AE17" s="93" t="s">
        <v>421</v>
      </c>
      <c r="AF17" s="93" t="s">
        <v>421</v>
      </c>
      <c r="AG17" s="93" t="s">
        <v>421</v>
      </c>
      <c r="AH17" s="93" t="s">
        <v>421</v>
      </c>
      <c r="AI17" s="93" t="s">
        <v>421</v>
      </c>
      <c r="AJ17" s="93" t="s">
        <v>421</v>
      </c>
      <c r="AK17" s="93" t="s">
        <v>421</v>
      </c>
      <c r="AL17" s="93" t="s">
        <v>421</v>
      </c>
      <c r="AM17" s="93" t="s">
        <v>421</v>
      </c>
      <c r="AN17" s="93" t="s">
        <v>421</v>
      </c>
      <c r="AO17" s="93" t="s">
        <v>421</v>
      </c>
      <c r="AP17" s="93" t="s">
        <v>421</v>
      </c>
      <c r="AQ17" s="93" t="s">
        <v>421</v>
      </c>
      <c r="AR17" s="93" t="s">
        <v>421</v>
      </c>
      <c r="AS17" s="93" t="s">
        <v>421</v>
      </c>
      <c r="AT17" s="93" t="s">
        <v>421</v>
      </c>
      <c r="AU17" s="93" t="s">
        <v>421</v>
      </c>
      <c r="AV17" s="93" t="s">
        <v>421</v>
      </c>
      <c r="AW17" s="93" t="s">
        <v>421</v>
      </c>
      <c r="AX17" s="93" t="s">
        <v>421</v>
      </c>
      <c r="AY17" s="93" t="s">
        <v>421</v>
      </c>
      <c r="AZ17" s="93" t="s">
        <v>421</v>
      </c>
      <c r="BA17" s="93" t="s">
        <v>421</v>
      </c>
      <c r="BB17" s="93" t="s">
        <v>421</v>
      </c>
      <c r="BC17" s="93">
        <v>91080</v>
      </c>
      <c r="BD17" s="93">
        <v>12</v>
      </c>
      <c r="BE17" s="93" t="s">
        <v>421</v>
      </c>
      <c r="BF17" s="93" t="str">
        <f>IFERROR(VLOOKUP(CONCATENATE($A17,$E17),BDKITS!$A:$BG,BF$1,0),"")</f>
        <v/>
      </c>
      <c r="BG17" s="93" t="str">
        <f>IFERROR(VLOOKUP(CONCATENATE($A17,$E17),BDKITS!$A:$BG,BG$1,0),"")</f>
        <v/>
      </c>
      <c r="BH17" s="92" t="str">
        <f>IF(B17="","",B17)</f>
        <v/>
      </c>
      <c r="BI17" s="92" t="str">
        <f>IF(C17="","",C17)</f>
        <v/>
      </c>
      <c r="BJ17" s="57" t="str">
        <f>IFERROR(VLOOKUP(CONCATENATE($A17,$E17),BDKITS!$A:$BG,BJ$1,0),"")</f>
        <v/>
      </c>
      <c r="BP17"/>
      <c r="BQ17"/>
      <c r="BR17"/>
      <c r="BS17"/>
      <c r="BT17"/>
      <c r="BU17" s="15" t="s">
        <v>421</v>
      </c>
      <c r="BV17"/>
      <c r="BW17"/>
      <c r="BX17"/>
      <c r="BY17"/>
      <c r="BZ17"/>
      <c r="CA17"/>
      <c r="CB17"/>
    </row>
    <row r="18" spans="1:80" x14ac:dyDescent="0.3">
      <c r="A18" s="98" t="s">
        <v>421</v>
      </c>
      <c r="B18" s="90" t="s">
        <v>421</v>
      </c>
      <c r="C18" s="90" t="s">
        <v>421</v>
      </c>
      <c r="D18" s="90" t="s">
        <v>421</v>
      </c>
      <c r="E18" s="91" t="s">
        <v>421</v>
      </c>
      <c r="F18" s="92" t="s">
        <v>421</v>
      </c>
      <c r="G18" s="92" t="s">
        <v>421</v>
      </c>
      <c r="H18" s="93" t="s">
        <v>421</v>
      </c>
      <c r="I18" s="93" t="s">
        <v>421</v>
      </c>
      <c r="J18" s="93" t="s">
        <v>421</v>
      </c>
      <c r="K18" s="93" t="s">
        <v>421</v>
      </c>
      <c r="L18" s="93" t="s">
        <v>421</v>
      </c>
      <c r="M18" s="93" t="s">
        <v>421</v>
      </c>
      <c r="N18" s="93" t="s">
        <v>421</v>
      </c>
      <c r="O18" s="93" t="s">
        <v>421</v>
      </c>
      <c r="P18" s="93" t="s">
        <v>421</v>
      </c>
      <c r="Q18" s="93" t="s">
        <v>421</v>
      </c>
      <c r="R18" s="93" t="s">
        <v>421</v>
      </c>
      <c r="S18" s="93" t="s">
        <v>421</v>
      </c>
      <c r="T18" s="93" t="s">
        <v>421</v>
      </c>
      <c r="U18" s="93" t="s">
        <v>421</v>
      </c>
      <c r="V18" s="93" t="s">
        <v>421</v>
      </c>
      <c r="W18" s="93" t="s">
        <v>421</v>
      </c>
      <c r="X18" s="93" t="s">
        <v>421</v>
      </c>
      <c r="Y18" s="93" t="s">
        <v>421</v>
      </c>
      <c r="Z18" s="93" t="s">
        <v>421</v>
      </c>
      <c r="AA18" s="93" t="s">
        <v>421</v>
      </c>
      <c r="AB18" s="93" t="s">
        <v>421</v>
      </c>
      <c r="AC18" s="93" t="s">
        <v>421</v>
      </c>
      <c r="AD18" s="93" t="s">
        <v>421</v>
      </c>
      <c r="AE18" s="93" t="s">
        <v>421</v>
      </c>
      <c r="AF18" s="93" t="s">
        <v>421</v>
      </c>
      <c r="AG18" s="93" t="s">
        <v>421</v>
      </c>
      <c r="AH18" s="93" t="s">
        <v>421</v>
      </c>
      <c r="AI18" s="93" t="s">
        <v>421</v>
      </c>
      <c r="AJ18" s="93" t="s">
        <v>421</v>
      </c>
      <c r="AK18" s="93" t="s">
        <v>421</v>
      </c>
      <c r="AL18" s="93" t="s">
        <v>421</v>
      </c>
      <c r="AM18" s="93" t="s">
        <v>421</v>
      </c>
      <c r="AN18" s="93" t="s">
        <v>421</v>
      </c>
      <c r="AO18" s="93" t="s">
        <v>421</v>
      </c>
      <c r="AP18" s="93" t="s">
        <v>421</v>
      </c>
      <c r="AQ18" s="93" t="s">
        <v>421</v>
      </c>
      <c r="AR18" s="93" t="s">
        <v>421</v>
      </c>
      <c r="AS18" s="93" t="s">
        <v>421</v>
      </c>
      <c r="AT18" s="93" t="s">
        <v>421</v>
      </c>
      <c r="AU18" s="93" t="s">
        <v>421</v>
      </c>
      <c r="AV18" s="93" t="s">
        <v>421</v>
      </c>
      <c r="AW18" s="93" t="s">
        <v>421</v>
      </c>
      <c r="AX18" s="93" t="s">
        <v>421</v>
      </c>
      <c r="AY18" s="93" t="s">
        <v>421</v>
      </c>
      <c r="AZ18" s="93" t="s">
        <v>421</v>
      </c>
      <c r="BA18" s="93" t="s">
        <v>421</v>
      </c>
      <c r="BB18" s="93" t="s">
        <v>421</v>
      </c>
      <c r="BC18" s="93">
        <v>91080</v>
      </c>
      <c r="BD18" s="93">
        <v>12</v>
      </c>
      <c r="BE18" s="93" t="s">
        <v>421</v>
      </c>
      <c r="BF18" s="93" t="str">
        <f>IFERROR(VLOOKUP(CONCATENATE($A18,$E18),BDKITS!$A:$BG,BF$1,0),"")</f>
        <v/>
      </c>
      <c r="BG18" s="93" t="str">
        <f>IFERROR(VLOOKUP(CONCATENATE($A18,$E18),BDKITS!$A:$BG,BG$1,0),"")</f>
        <v/>
      </c>
      <c r="BH18" s="92" t="str">
        <f>IF(B18="","",B18)</f>
        <v/>
      </c>
      <c r="BI18" s="92" t="str">
        <f>IF(C18="","",C18)</f>
        <v/>
      </c>
      <c r="BJ18" s="57" t="str">
        <f>IFERROR(VLOOKUP(CONCATENATE($A18,$E18),BDKITS!$A:$BG,BJ$1,0),"")</f>
        <v/>
      </c>
      <c r="BP18"/>
      <c r="BQ18"/>
      <c r="BR18"/>
      <c r="BS18"/>
      <c r="BT18"/>
      <c r="BU18" s="15" t="s">
        <v>421</v>
      </c>
      <c r="BV18"/>
      <c r="BW18"/>
      <c r="BX18"/>
      <c r="BY18"/>
      <c r="BZ18"/>
      <c r="CA18"/>
      <c r="CB18"/>
    </row>
    <row r="19" spans="1:80" x14ac:dyDescent="0.3">
      <c r="BP19"/>
      <c r="BQ19"/>
      <c r="BR19"/>
      <c r="BS19"/>
      <c r="BT19"/>
      <c r="BU19" s="15" t="s">
        <v>421</v>
      </c>
      <c r="BV19"/>
      <c r="BW19"/>
      <c r="BX19"/>
      <c r="BY19"/>
      <c r="BZ19"/>
      <c r="CA19"/>
      <c r="CB19"/>
    </row>
    <row r="20" spans="1:80" x14ac:dyDescent="0.3">
      <c r="BP20"/>
      <c r="BQ20"/>
      <c r="BR20"/>
      <c r="BS20"/>
      <c r="BT20"/>
      <c r="BU20" s="15" t="str">
        <f>IFERROR(VLOOKUP(BR20,MKITS!$C:$I,7,0),"")</f>
        <v/>
      </c>
      <c r="BV20"/>
      <c r="BW20"/>
      <c r="BX20"/>
      <c r="BY20"/>
      <c r="BZ20"/>
      <c r="CA20"/>
      <c r="CB20"/>
    </row>
    <row r="21" spans="1:80" x14ac:dyDescent="0.3">
      <c r="BP21"/>
      <c r="BQ21"/>
      <c r="BR21"/>
      <c r="BS21"/>
      <c r="BT21"/>
      <c r="BU21" s="15" t="str">
        <f>IFERROR(VLOOKUP(BR21,MKITS!$C:$I,7,0),"")</f>
        <v/>
      </c>
      <c r="BV21"/>
      <c r="BW21"/>
      <c r="BX21"/>
      <c r="BY21"/>
      <c r="BZ21"/>
      <c r="CA21"/>
      <c r="CB21"/>
    </row>
    <row r="22" spans="1:80" x14ac:dyDescent="0.3">
      <c r="BP22"/>
      <c r="BQ22"/>
      <c r="BR22"/>
      <c r="BS22"/>
      <c r="BT22"/>
      <c r="BU22" s="15" t="str">
        <f>IFERROR(VLOOKUP(BR22,MKITS!$C:$I,7,0),"")</f>
        <v/>
      </c>
      <c r="BV22"/>
      <c r="BW22"/>
      <c r="BX22"/>
      <c r="BY22"/>
      <c r="BZ22"/>
      <c r="CA22"/>
      <c r="CB22"/>
    </row>
    <row r="23" spans="1:80" x14ac:dyDescent="0.3">
      <c r="BP23"/>
      <c r="BQ23"/>
      <c r="BR23"/>
      <c r="BS23"/>
      <c r="BT23"/>
      <c r="BU23" s="15" t="str">
        <f>IFERROR(VLOOKUP(BR23,MKITS!$C:$I,7,0),"")</f>
        <v/>
      </c>
      <c r="BV23"/>
      <c r="BW23"/>
      <c r="BX23"/>
      <c r="BY23"/>
      <c r="BZ23"/>
      <c r="CA23"/>
      <c r="CB23"/>
    </row>
    <row r="24" spans="1:80" x14ac:dyDescent="0.3">
      <c r="BP24"/>
      <c r="BQ24"/>
      <c r="BR24"/>
      <c r="BS24"/>
      <c r="BT24"/>
      <c r="BU24" s="15" t="str">
        <f>IFERROR(VLOOKUP(BR24,MKITS!$C:$I,7,0),"")</f>
        <v/>
      </c>
      <c r="BV24"/>
      <c r="BW24"/>
      <c r="BX24"/>
      <c r="BY24"/>
      <c r="BZ24"/>
      <c r="CA24"/>
      <c r="CB24"/>
    </row>
    <row r="25" spans="1:80" x14ac:dyDescent="0.3">
      <c r="BP25"/>
      <c r="BQ25"/>
      <c r="BR25"/>
      <c r="BS25"/>
      <c r="BT25"/>
      <c r="BU25" s="15" t="str">
        <f>IFERROR(VLOOKUP(BR25,MKITS!$C:$I,7,0),"")</f>
        <v/>
      </c>
      <c r="BV25"/>
      <c r="BW25"/>
      <c r="BX25"/>
      <c r="BY25"/>
      <c r="BZ25"/>
      <c r="CA25"/>
      <c r="CB25"/>
    </row>
    <row r="26" spans="1:80" x14ac:dyDescent="0.3">
      <c r="BP26"/>
      <c r="BQ26"/>
      <c r="BR26"/>
      <c r="BS26"/>
      <c r="BT26"/>
      <c r="BU26" s="15" t="str">
        <f>IFERROR(VLOOKUP(BR26,MKITS!$C:$I,7,0),"")</f>
        <v/>
      </c>
      <c r="BV26"/>
      <c r="BW26"/>
      <c r="BX26"/>
      <c r="BY26"/>
      <c r="BZ26"/>
      <c r="CA26"/>
      <c r="CB26"/>
    </row>
    <row r="27" spans="1:80" x14ac:dyDescent="0.3">
      <c r="BP27"/>
      <c r="BQ27"/>
      <c r="BR27"/>
      <c r="BS27"/>
      <c r="BT27"/>
      <c r="BU27" s="15" t="str">
        <f>IFERROR(VLOOKUP(BR27,MKITS!$C:$I,7,0),"")</f>
        <v/>
      </c>
      <c r="BV27"/>
      <c r="BW27"/>
      <c r="BX27"/>
      <c r="BY27"/>
      <c r="BZ27"/>
      <c r="CA27"/>
      <c r="CB27"/>
    </row>
    <row r="28" spans="1:80" x14ac:dyDescent="0.3">
      <c r="BP28"/>
      <c r="BQ28"/>
      <c r="BR28"/>
      <c r="BS28"/>
      <c r="BT28"/>
      <c r="BU28" s="15" t="str">
        <f>IFERROR(VLOOKUP(BR28,MKITS!$C:$I,7,0),"")</f>
        <v/>
      </c>
      <c r="BV28"/>
      <c r="BW28"/>
      <c r="BX28"/>
      <c r="BY28"/>
      <c r="BZ28"/>
      <c r="CA28"/>
      <c r="CB28"/>
    </row>
    <row r="29" spans="1:80" x14ac:dyDescent="0.3">
      <c r="BP29"/>
      <c r="BQ29"/>
      <c r="BR29"/>
      <c r="BS29"/>
      <c r="BT29"/>
      <c r="BU29" s="15" t="str">
        <f>IFERROR(VLOOKUP(BR29,MKITS!$C:$I,7,0),"")</f>
        <v/>
      </c>
      <c r="BV29"/>
      <c r="BW29"/>
      <c r="BX29"/>
      <c r="BY29"/>
      <c r="BZ29"/>
      <c r="CA29"/>
      <c r="CB29"/>
    </row>
    <row r="30" spans="1:80" x14ac:dyDescent="0.3">
      <c r="BP30"/>
      <c r="BQ30"/>
      <c r="BR30"/>
      <c r="BS30"/>
      <c r="BT30"/>
      <c r="BU30" s="15" t="str">
        <f>IFERROR(VLOOKUP(BR30,MKITS!$C:$I,7,0),"")</f>
        <v/>
      </c>
      <c r="BV30"/>
      <c r="BW30"/>
      <c r="BX30"/>
      <c r="BY30"/>
      <c r="BZ30"/>
      <c r="CA30"/>
      <c r="CB30"/>
    </row>
    <row r="31" spans="1:80" x14ac:dyDescent="0.3">
      <c r="BP31"/>
      <c r="BQ31"/>
      <c r="BR31"/>
      <c r="BS31"/>
      <c r="BT31"/>
      <c r="BU31" s="15" t="str">
        <f>IFERROR(VLOOKUP(BR31,MKITS!$C:$I,7,0),"")</f>
        <v/>
      </c>
      <c r="BV31"/>
      <c r="BW31"/>
      <c r="BX31"/>
      <c r="BY31"/>
      <c r="BZ31"/>
      <c r="CA31"/>
      <c r="CB31"/>
    </row>
    <row r="32" spans="1:80" x14ac:dyDescent="0.3">
      <c r="BP32"/>
      <c r="BQ32"/>
      <c r="BR32"/>
      <c r="BS32"/>
      <c r="BT32"/>
      <c r="BU32" s="15" t="str">
        <f>IFERROR(VLOOKUP(BR32,MKITS!$C:$I,7,0),"")</f>
        <v/>
      </c>
      <c r="BV32"/>
      <c r="BW32"/>
      <c r="BX32"/>
      <c r="BY32"/>
      <c r="BZ32"/>
      <c r="CA32"/>
      <c r="CB32"/>
    </row>
    <row r="33" spans="68:75" x14ac:dyDescent="0.3">
      <c r="BP33"/>
      <c r="BQ33"/>
      <c r="BR33"/>
      <c r="BS33"/>
      <c r="BT33"/>
      <c r="BU33" s="15" t="str">
        <f>IFERROR(VLOOKUP(BR33,MKITS!$C:$I,7,0),"")</f>
        <v/>
      </c>
      <c r="BV33"/>
      <c r="BW33"/>
    </row>
    <row r="34" spans="68:75" x14ac:dyDescent="0.3">
      <c r="BP34"/>
      <c r="BQ34"/>
      <c r="BR34"/>
      <c r="BS34"/>
      <c r="BT34"/>
      <c r="BU34" s="15" t="str">
        <f>IFERROR(VLOOKUP(BR34,MKITS!$C:$I,7,0),"")</f>
        <v/>
      </c>
      <c r="BV34"/>
      <c r="BW34"/>
    </row>
    <row r="35" spans="68:75" x14ac:dyDescent="0.3">
      <c r="BP35"/>
      <c r="BQ35"/>
      <c r="BR35"/>
      <c r="BS35"/>
      <c r="BT35"/>
      <c r="BU35" s="15" t="str">
        <f>IFERROR(VLOOKUP(BR35,MKITS!$C:$I,7,0),"")</f>
        <v/>
      </c>
      <c r="BV35"/>
      <c r="BW35"/>
    </row>
    <row r="36" spans="68:75" x14ac:dyDescent="0.3">
      <c r="BP36"/>
      <c r="BQ36"/>
      <c r="BR36"/>
      <c r="BS36"/>
      <c r="BT36"/>
      <c r="BU36" s="15" t="str">
        <f>IFERROR(VLOOKUP(BR36,MKITS!$C:$I,7,0),"")</f>
        <v/>
      </c>
      <c r="BV36"/>
      <c r="BW36"/>
    </row>
    <row r="37" spans="68:75" x14ac:dyDescent="0.3">
      <c r="BP37"/>
      <c r="BQ37"/>
      <c r="BR37"/>
      <c r="BS37"/>
      <c r="BT37"/>
      <c r="BU37" s="15" t="str">
        <f>IFERROR(VLOOKUP(BR37,MKITS!$C:$I,7,0),"")</f>
        <v/>
      </c>
    </row>
    <row r="38" spans="68:75" x14ac:dyDescent="0.3">
      <c r="BP38"/>
      <c r="BQ38"/>
      <c r="BR38"/>
      <c r="BS38"/>
      <c r="BT38"/>
      <c r="BU38" s="15" t="str">
        <f>IFERROR(VLOOKUP(BR38,MKITS!$C:$I,7,0),"")</f>
        <v/>
      </c>
    </row>
    <row r="39" spans="68:75" x14ac:dyDescent="0.3">
      <c r="BP39"/>
      <c r="BQ39"/>
      <c r="BR39"/>
      <c r="BS39"/>
      <c r="BT39"/>
      <c r="BU39" s="15" t="str">
        <f>IFERROR(VLOOKUP(BR39,MKITS!$C:$I,7,0),"")</f>
        <v/>
      </c>
    </row>
    <row r="40" spans="68:75" x14ac:dyDescent="0.3">
      <c r="BP40"/>
      <c r="BQ40"/>
      <c r="BR40"/>
      <c r="BS40"/>
      <c r="BT40"/>
      <c r="BU40" s="15" t="str">
        <f>IFERROR(VLOOKUP(BR40,MKITS!$C:$I,7,0),"")</f>
        <v/>
      </c>
    </row>
    <row r="41" spans="68:75" x14ac:dyDescent="0.3">
      <c r="BP41"/>
      <c r="BQ41"/>
      <c r="BR41"/>
      <c r="BS41"/>
      <c r="BT41"/>
      <c r="BU41" s="15" t="str">
        <f>IFERROR(VLOOKUP(BR41,MKITS!$C:$I,7,0),"")</f>
        <v/>
      </c>
    </row>
    <row r="42" spans="68:75" x14ac:dyDescent="0.3">
      <c r="BP42"/>
      <c r="BQ42"/>
      <c r="BR42"/>
      <c r="BS42"/>
      <c r="BT42"/>
      <c r="BU42" s="15" t="str">
        <f>IFERROR(VLOOKUP(BR42,MKITS!$C:$I,7,0),"")</f>
        <v/>
      </c>
    </row>
    <row r="43" spans="68:75" x14ac:dyDescent="0.3">
      <c r="BP43"/>
      <c r="BQ43"/>
      <c r="BR43"/>
      <c r="BS43"/>
      <c r="BT43"/>
      <c r="BU43" s="15" t="str">
        <f>IFERROR(VLOOKUP(BR43,MKITS!$C:$I,7,0),"")</f>
        <v/>
      </c>
    </row>
    <row r="44" spans="68:75" x14ac:dyDescent="0.3">
      <c r="BP44"/>
      <c r="BQ44"/>
      <c r="BR44"/>
      <c r="BS44"/>
      <c r="BT44"/>
      <c r="BU44" s="15" t="str">
        <f>IFERROR(VLOOKUP(BR44,MKITS!$C:$I,7,0),"")</f>
        <v/>
      </c>
    </row>
    <row r="45" spans="68:75" x14ac:dyDescent="0.3">
      <c r="BP45"/>
      <c r="BQ45"/>
      <c r="BR45"/>
      <c r="BS45"/>
      <c r="BT45"/>
      <c r="BU45" s="15" t="str">
        <f>IFERROR(VLOOKUP(BR45,MKITS!$C:$I,7,0),"")</f>
        <v/>
      </c>
    </row>
    <row r="46" spans="68:75" x14ac:dyDescent="0.3">
      <c r="BP46"/>
      <c r="BQ46"/>
      <c r="BR46"/>
      <c r="BS46"/>
      <c r="BT46"/>
      <c r="BU46" s="15" t="str">
        <f>IFERROR(VLOOKUP(BR46,MKITS!$C:$I,7,0),"")</f>
        <v/>
      </c>
    </row>
    <row r="47" spans="68:75" x14ac:dyDescent="0.3">
      <c r="BU47" s="15" t="str">
        <f>IFERROR(VLOOKUP(BR47,MKITS!$C:$I,7,0),"")</f>
        <v/>
      </c>
    </row>
    <row r="48" spans="68:75" x14ac:dyDescent="0.3">
      <c r="BU48" s="15" t="str">
        <f>IFERROR(VLOOKUP(BR48,MKITS!$C:$I,7,0),"")</f>
        <v/>
      </c>
    </row>
    <row r="49" spans="73:73" x14ac:dyDescent="0.3">
      <c r="BU49" s="15" t="str">
        <f>IFERROR(VLOOKUP(BR49,MKITS!$C:$I,7,0),"")</f>
        <v/>
      </c>
    </row>
    <row r="50" spans="73:73" x14ac:dyDescent="0.3">
      <c r="BU50" s="15" t="str">
        <f>IFERROR(VLOOKUP(BR50,MKITS!$C:$I,7,0),"")</f>
        <v/>
      </c>
    </row>
    <row r="51" spans="73:73" x14ac:dyDescent="0.3">
      <c r="BU51" s="15" t="str">
        <f>IFERROR(VLOOKUP(BR51,MKITS!$C:$I,7,0),"")</f>
        <v/>
      </c>
    </row>
    <row r="52" spans="73:73" x14ac:dyDescent="0.3">
      <c r="BU52" s="15" t="str">
        <f>IFERROR(VLOOKUP(BR52,MKITS!$C:$I,7,0),"")</f>
        <v/>
      </c>
    </row>
    <row r="53" spans="73:73" x14ac:dyDescent="0.3">
      <c r="BU53" s="15" t="str">
        <f>IFERROR(VLOOKUP(BR53,MKITS!$C:$I,7,0),"")</f>
        <v/>
      </c>
    </row>
    <row r="54" spans="73:73" x14ac:dyDescent="0.3">
      <c r="BU54" s="15" t="str">
        <f>IFERROR(VLOOKUP(BR54,MKITS!$C:$I,7,0),"")</f>
        <v/>
      </c>
    </row>
    <row r="55" spans="73:73" x14ac:dyDescent="0.3">
      <c r="BU55" s="15" t="str">
        <f>IFERROR(VLOOKUP(BR55,MKITS!$C:$I,7,0),"")</f>
        <v/>
      </c>
    </row>
    <row r="56" spans="73:73" x14ac:dyDescent="0.3">
      <c r="BU56" s="15" t="str">
        <f>IFERROR(VLOOKUP(BR56,MKITS!$C:$I,7,0),"")</f>
        <v/>
      </c>
    </row>
    <row r="57" spans="73:73" x14ac:dyDescent="0.3">
      <c r="BU57" s="15" t="str">
        <f>IFERROR(VLOOKUP(BR57,MKITS!$C:$I,7,0),"")</f>
        <v/>
      </c>
    </row>
    <row r="58" spans="73:73" x14ac:dyDescent="0.3">
      <c r="BU58" s="15" t="str">
        <f>IFERROR(VLOOKUP(BR58,MKITS!$C:$I,7,0),"")</f>
        <v/>
      </c>
    </row>
    <row r="59" spans="73:73" x14ac:dyDescent="0.3">
      <c r="BU59" s="15" t="str">
        <f>IFERROR(VLOOKUP(BR59,MKITS!$C:$I,7,0),"")</f>
        <v/>
      </c>
    </row>
    <row r="60" spans="73:73" x14ac:dyDescent="0.3">
      <c r="BU60" s="15" t="str">
        <f>IFERROR(VLOOKUP(BR60,MKITS!$C:$I,7,0),"")</f>
        <v/>
      </c>
    </row>
  </sheetData>
  <mergeCells count="1">
    <mergeCell ref="BP2:BU3"/>
  </mergeCells>
  <phoneticPr fontId="6" type="noConversion"/>
  <conditionalFormatting sqref="G2:AO2">
    <cfRule type="duplicateValues" dxfId="448" priority="31"/>
  </conditionalFormatting>
  <conditionalFormatting sqref="AP2:BG2">
    <cfRule type="duplicateValues" dxfId="447" priority="30"/>
  </conditionalFormatting>
  <conditionalFormatting sqref="AP2:BG2">
    <cfRule type="duplicateValues" dxfId="446" priority="29"/>
  </conditionalFormatting>
  <conditionalFormatting sqref="F2">
    <cfRule type="duplicateValues" dxfId="445" priority="28"/>
  </conditionalFormatting>
  <conditionalFormatting sqref="F2">
    <cfRule type="duplicateValues" dxfId="444" priority="27"/>
  </conditionalFormatting>
  <conditionalFormatting sqref="BU1:BU1048576">
    <cfRule type="cellIs" dxfId="443" priority="3" operator="equal">
      <formula>"41"</formula>
    </cfRule>
    <cfRule type="cellIs" dxfId="442" priority="4" operator="between">
      <formula>"37"</formula>
      <formula>"40"</formula>
    </cfRule>
    <cfRule type="cellIs" dxfId="441" priority="5" operator="between">
      <formula>"34"</formula>
      <formula>"36"</formula>
    </cfRule>
    <cfRule type="cellIs" dxfId="440" priority="6" operator="between">
      <formula>"14"</formula>
      <formula>"33"</formula>
    </cfRule>
    <cfRule type="cellIs" dxfId="439" priority="7" operator="between">
      <formula>"01"</formula>
      <formula>"13"</formula>
    </cfRule>
  </conditionalFormatting>
  <conditionalFormatting sqref="E2">
    <cfRule type="duplicateValues" dxfId="438" priority="2"/>
  </conditionalFormatting>
  <conditionalFormatting sqref="E2">
    <cfRule type="duplicateValues" dxfId="437" priority="1"/>
  </conditionalFormatting>
  <pageMargins left="0.7" right="0.7" top="0.75" bottom="0.75" header="0.3" footer="0.3"/>
  <pageSetup paperSize="9" orientation="portrait" horizontalDpi="4294967292" r:id="rId3"/>
  <drawing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BG117"/>
  <sheetViews>
    <sheetView showGridLines="0" zoomScaleNormal="100" workbookViewId="0">
      <selection activeCell="BC12" sqref="BC12"/>
    </sheetView>
  </sheetViews>
  <sheetFormatPr baseColWidth="10" defaultColWidth="10.88671875" defaultRowHeight="13.8" x14ac:dyDescent="0.25"/>
  <cols>
    <col min="1" max="1" width="17.109375" style="37" customWidth="1"/>
    <col min="2" max="2" width="12" style="37" customWidth="1"/>
    <col min="3" max="3" width="14.88671875" style="37" customWidth="1"/>
    <col min="4" max="4" width="14.109375" style="37" bestFit="1" customWidth="1"/>
    <col min="5" max="5" width="24.5546875" style="37" customWidth="1"/>
    <col min="6" max="6" width="12.109375" style="37" customWidth="1"/>
    <col min="7" max="8" width="13.33203125" style="37" customWidth="1"/>
    <col min="9" max="10" width="14" style="37" bestFit="1" customWidth="1"/>
    <col min="11" max="11" width="25.109375" style="37" bestFit="1" customWidth="1"/>
    <col min="12" max="14" width="14.44140625" style="37" bestFit="1" customWidth="1"/>
    <col min="15" max="16" width="14" style="37" bestFit="1" customWidth="1"/>
    <col min="17" max="17" width="32.5546875" style="37" bestFit="1" customWidth="1"/>
    <col min="18" max="20" width="14.44140625" style="37" bestFit="1" customWidth="1"/>
    <col min="21" max="22" width="14" style="37" bestFit="1" customWidth="1"/>
    <col min="23" max="23" width="27.88671875" style="37" bestFit="1" customWidth="1"/>
    <col min="24" max="26" width="14.44140625" style="37" bestFit="1" customWidth="1"/>
    <col min="27" max="27" width="14" style="37" bestFit="1" customWidth="1"/>
    <col min="28" max="28" width="17.44140625" style="37" bestFit="1" customWidth="1"/>
    <col min="29" max="29" width="32.5546875" style="37" bestFit="1" customWidth="1"/>
    <col min="30" max="32" width="14.44140625" style="37" bestFit="1" customWidth="1"/>
    <col min="33" max="34" width="14" style="37" bestFit="1" customWidth="1"/>
    <col min="35" max="35" width="29.33203125" style="37" bestFit="1" customWidth="1"/>
    <col min="36" max="38" width="14.44140625" style="37" bestFit="1" customWidth="1"/>
    <col min="39" max="39" width="14" style="37" bestFit="1" customWidth="1"/>
    <col min="40" max="40" width="19.33203125" style="37" bestFit="1" customWidth="1"/>
    <col min="41" max="41" width="29.109375" style="37" bestFit="1" customWidth="1"/>
    <col min="42" max="44" width="14.44140625" style="37" bestFit="1" customWidth="1"/>
    <col min="45" max="46" width="14" style="37" bestFit="1" customWidth="1"/>
    <col min="47" max="47" width="29.109375" style="37" bestFit="1" customWidth="1"/>
    <col min="48" max="50" width="14.44140625" style="37" bestFit="1" customWidth="1"/>
    <col min="51" max="52" width="14" style="37" bestFit="1" customWidth="1"/>
    <col min="53" max="53" width="19.44140625" style="37" bestFit="1" customWidth="1"/>
    <col min="54" max="56" width="14.44140625" style="37" bestFit="1" customWidth="1"/>
    <col min="57" max="57" width="15.88671875" style="37" bestFit="1" customWidth="1"/>
    <col min="58" max="58" width="8.88671875" style="37" bestFit="1" customWidth="1"/>
    <col min="59" max="59" width="13.44140625" style="37" bestFit="1" customWidth="1"/>
    <col min="60" max="16384" width="10.88671875" style="37"/>
  </cols>
  <sheetData>
    <row r="1" spans="1:59" s="32" customFormat="1" x14ac:dyDescent="0.3">
      <c r="A1" s="25" t="s">
        <v>279</v>
      </c>
      <c r="B1" s="26" t="s">
        <v>334</v>
      </c>
      <c r="C1" s="27" t="s">
        <v>83</v>
      </c>
      <c r="D1" s="28" t="s">
        <v>55</v>
      </c>
      <c r="E1" s="28" t="s">
        <v>0</v>
      </c>
      <c r="F1" s="28" t="s">
        <v>4</v>
      </c>
      <c r="G1" s="28" t="s">
        <v>2</v>
      </c>
      <c r="H1" s="28" t="s">
        <v>3</v>
      </c>
      <c r="I1" s="29" t="s">
        <v>5</v>
      </c>
      <c r="J1" s="29" t="s">
        <v>6</v>
      </c>
      <c r="K1" s="29" t="s">
        <v>7</v>
      </c>
      <c r="L1" s="29" t="s">
        <v>8</v>
      </c>
      <c r="M1" s="29" t="s">
        <v>9</v>
      </c>
      <c r="N1" s="29" t="s">
        <v>10</v>
      </c>
      <c r="O1" s="28" t="s">
        <v>11</v>
      </c>
      <c r="P1" s="28" t="s">
        <v>17</v>
      </c>
      <c r="Q1" s="28" t="s">
        <v>23</v>
      </c>
      <c r="R1" s="28" t="s">
        <v>29</v>
      </c>
      <c r="S1" s="28" t="s">
        <v>35</v>
      </c>
      <c r="T1" s="28" t="s">
        <v>41</v>
      </c>
      <c r="U1" s="29" t="s">
        <v>12</v>
      </c>
      <c r="V1" s="29" t="s">
        <v>18</v>
      </c>
      <c r="W1" s="29" t="s">
        <v>24</v>
      </c>
      <c r="X1" s="29" t="s">
        <v>30</v>
      </c>
      <c r="Y1" s="29" t="s">
        <v>36</v>
      </c>
      <c r="Z1" s="29" t="s">
        <v>42</v>
      </c>
      <c r="AA1" s="28" t="s">
        <v>13</v>
      </c>
      <c r="AB1" s="28" t="s">
        <v>19</v>
      </c>
      <c r="AC1" s="28" t="s">
        <v>25</v>
      </c>
      <c r="AD1" s="28" t="s">
        <v>31</v>
      </c>
      <c r="AE1" s="28" t="s">
        <v>37</v>
      </c>
      <c r="AF1" s="28" t="s">
        <v>43</v>
      </c>
      <c r="AG1" s="29" t="s">
        <v>14</v>
      </c>
      <c r="AH1" s="29" t="s">
        <v>20</v>
      </c>
      <c r="AI1" s="29" t="s">
        <v>26</v>
      </c>
      <c r="AJ1" s="29" t="s">
        <v>32</v>
      </c>
      <c r="AK1" s="29" t="s">
        <v>38</v>
      </c>
      <c r="AL1" s="29" t="s">
        <v>44</v>
      </c>
      <c r="AM1" s="28" t="s">
        <v>15</v>
      </c>
      <c r="AN1" s="28" t="s">
        <v>21</v>
      </c>
      <c r="AO1" s="28" t="s">
        <v>27</v>
      </c>
      <c r="AP1" s="28" t="s">
        <v>33</v>
      </c>
      <c r="AQ1" s="28" t="s">
        <v>39</v>
      </c>
      <c r="AR1" s="28" t="s">
        <v>45</v>
      </c>
      <c r="AS1" s="29" t="s">
        <v>16</v>
      </c>
      <c r="AT1" s="29" t="s">
        <v>22</v>
      </c>
      <c r="AU1" s="29" t="s">
        <v>28</v>
      </c>
      <c r="AV1" s="29" t="s">
        <v>34</v>
      </c>
      <c r="AW1" s="29" t="s">
        <v>40</v>
      </c>
      <c r="AX1" s="29" t="s">
        <v>46</v>
      </c>
      <c r="AY1" s="28" t="s">
        <v>74</v>
      </c>
      <c r="AZ1" s="28" t="s">
        <v>75</v>
      </c>
      <c r="BA1" s="28" t="s">
        <v>76</v>
      </c>
      <c r="BB1" s="28" t="s">
        <v>77</v>
      </c>
      <c r="BC1" s="28" t="s">
        <v>78</v>
      </c>
      <c r="BD1" s="28" t="s">
        <v>79</v>
      </c>
      <c r="BE1" s="30" t="s">
        <v>56</v>
      </c>
      <c r="BF1" s="30" t="s">
        <v>57</v>
      </c>
      <c r="BG1" s="31" t="s">
        <v>278</v>
      </c>
    </row>
    <row r="2" spans="1:59" x14ac:dyDescent="0.25">
      <c r="A2" s="25" t="str">
        <f t="shared" ref="A2:A34" si="0">CONCATENATE(D2,B2)</f>
        <v>PE120001229</v>
      </c>
      <c r="B2" s="25" t="str">
        <f>""</f>
        <v/>
      </c>
      <c r="C2" s="33" t="str">
        <f>""</f>
        <v/>
      </c>
      <c r="D2" s="25" t="str">
        <f t="shared" ref="D2:D5" si="1">CONCATENATE(F2,G2,H2)</f>
        <v>PE120001229</v>
      </c>
      <c r="E2" s="25" t="s">
        <v>144</v>
      </c>
      <c r="F2" s="25" t="s">
        <v>81</v>
      </c>
      <c r="G2" s="25">
        <v>2000</v>
      </c>
      <c r="H2" s="25">
        <v>1229</v>
      </c>
      <c r="I2" s="25" t="s">
        <v>47</v>
      </c>
      <c r="J2" s="25">
        <v>21707133</v>
      </c>
      <c r="K2" s="25" t="s">
        <v>48</v>
      </c>
      <c r="L2" s="25">
        <v>2</v>
      </c>
      <c r="M2" s="25" t="s">
        <v>49</v>
      </c>
      <c r="N2" s="25" t="s">
        <v>51</v>
      </c>
      <c r="O2" s="25" t="s">
        <v>47</v>
      </c>
      <c r="P2" s="25">
        <v>21707132</v>
      </c>
      <c r="Q2" s="25" t="s">
        <v>50</v>
      </c>
      <c r="R2" s="25">
        <v>1</v>
      </c>
      <c r="S2" s="25" t="s">
        <v>49</v>
      </c>
      <c r="T2" s="25" t="s">
        <v>51</v>
      </c>
      <c r="U2" s="25" t="s">
        <v>82</v>
      </c>
      <c r="V2" s="25">
        <v>15126069</v>
      </c>
      <c r="W2" s="25" t="s">
        <v>52</v>
      </c>
      <c r="X2" s="25">
        <v>1</v>
      </c>
      <c r="Y2" s="25" t="s">
        <v>49</v>
      </c>
      <c r="Z2" s="25" t="s">
        <v>51</v>
      </c>
      <c r="AA2" s="25" t="s">
        <v>82</v>
      </c>
      <c r="AB2" s="25">
        <v>11110683</v>
      </c>
      <c r="AC2" s="25" t="s">
        <v>342</v>
      </c>
      <c r="AD2" s="25">
        <v>1</v>
      </c>
      <c r="AE2" s="25" t="s">
        <v>49</v>
      </c>
      <c r="AF2" s="25" t="s">
        <v>51</v>
      </c>
      <c r="AG2" s="25" t="str">
        <f>""</f>
        <v/>
      </c>
      <c r="AH2" s="25" t="str">
        <f>""</f>
        <v/>
      </c>
      <c r="AI2" s="25" t="str">
        <f>""</f>
        <v/>
      </c>
      <c r="AJ2" s="25" t="str">
        <f>""</f>
        <v/>
      </c>
      <c r="AK2" s="25" t="str">
        <f>""</f>
        <v/>
      </c>
      <c r="AL2" s="25" t="str">
        <f>""</f>
        <v/>
      </c>
      <c r="AM2" s="25" t="str">
        <f>""</f>
        <v/>
      </c>
      <c r="AN2" s="34" t="str">
        <f>""</f>
        <v/>
      </c>
      <c r="AO2" s="35" t="str">
        <f>""</f>
        <v/>
      </c>
      <c r="AP2" s="35" t="str">
        <f>""</f>
        <v/>
      </c>
      <c r="AQ2" s="35" t="str">
        <f>""</f>
        <v/>
      </c>
      <c r="AR2" s="35" t="str">
        <f>""</f>
        <v/>
      </c>
      <c r="AS2" s="35" t="str">
        <f>""</f>
        <v/>
      </c>
      <c r="AT2" s="35" t="str">
        <f>""</f>
        <v/>
      </c>
      <c r="AU2" s="35" t="str">
        <f>""</f>
        <v/>
      </c>
      <c r="AV2" s="35" t="str">
        <f>""</f>
        <v/>
      </c>
      <c r="AW2" s="35" t="str">
        <f>""</f>
        <v/>
      </c>
      <c r="AX2" s="35" t="str">
        <f>""</f>
        <v/>
      </c>
      <c r="AY2" s="35" t="str">
        <f>""</f>
        <v/>
      </c>
      <c r="AZ2" s="35" t="str">
        <f>""</f>
        <v/>
      </c>
      <c r="BA2" s="35" t="str">
        <f>""</f>
        <v/>
      </c>
      <c r="BB2" s="35" t="str">
        <f>""</f>
        <v/>
      </c>
      <c r="BC2" s="35" t="str">
        <f>""</f>
        <v/>
      </c>
      <c r="BD2" s="35" t="str">
        <f>""</f>
        <v/>
      </c>
      <c r="BE2" s="36"/>
      <c r="BF2" s="36"/>
      <c r="BG2" s="25" t="s">
        <v>274</v>
      </c>
    </row>
    <row r="3" spans="1:59" x14ac:dyDescent="0.25">
      <c r="A3" s="25" t="str">
        <f t="shared" si="0"/>
        <v>PE120001232</v>
      </c>
      <c r="B3" s="25" t="str">
        <f>""</f>
        <v/>
      </c>
      <c r="C3" s="38" t="str">
        <f>""</f>
        <v/>
      </c>
      <c r="D3" s="25" t="str">
        <f t="shared" si="1"/>
        <v>PE120001232</v>
      </c>
      <c r="E3" s="25" t="s">
        <v>149</v>
      </c>
      <c r="F3" s="25" t="s">
        <v>81</v>
      </c>
      <c r="G3" s="25">
        <v>2000</v>
      </c>
      <c r="H3" s="25">
        <v>1232</v>
      </c>
      <c r="I3" s="25" t="s">
        <v>82</v>
      </c>
      <c r="J3" s="25">
        <v>17457469</v>
      </c>
      <c r="K3" s="25" t="s">
        <v>50</v>
      </c>
      <c r="L3" s="25">
        <v>1</v>
      </c>
      <c r="M3" s="25" t="s">
        <v>49</v>
      </c>
      <c r="N3" s="25" t="s">
        <v>51</v>
      </c>
      <c r="O3" s="25" t="s">
        <v>82</v>
      </c>
      <c r="P3" s="25">
        <v>20805349</v>
      </c>
      <c r="Q3" s="25" t="s">
        <v>52</v>
      </c>
      <c r="R3" s="25">
        <v>1</v>
      </c>
      <c r="S3" s="25" t="s">
        <v>49</v>
      </c>
      <c r="T3" s="25" t="s">
        <v>51</v>
      </c>
      <c r="U3" s="25" t="s">
        <v>47</v>
      </c>
      <c r="V3" s="25">
        <v>11110683</v>
      </c>
      <c r="W3" s="25" t="s">
        <v>342</v>
      </c>
      <c r="X3" s="25">
        <v>1</v>
      </c>
      <c r="Y3" s="25" t="s">
        <v>49</v>
      </c>
      <c r="Z3" s="25" t="s">
        <v>51</v>
      </c>
      <c r="AA3" s="25" t="str">
        <f>""</f>
        <v/>
      </c>
      <c r="AB3" s="25" t="str">
        <f>""</f>
        <v/>
      </c>
      <c r="AC3" s="25" t="str">
        <f>""</f>
        <v/>
      </c>
      <c r="AD3" s="25" t="str">
        <f>""</f>
        <v/>
      </c>
      <c r="AE3" s="25" t="str">
        <f>""</f>
        <v/>
      </c>
      <c r="AF3" s="25" t="str">
        <f>""</f>
        <v/>
      </c>
      <c r="AG3" s="25" t="str">
        <f>""</f>
        <v/>
      </c>
      <c r="AH3" s="25" t="str">
        <f>""</f>
        <v/>
      </c>
      <c r="AI3" s="25" t="str">
        <f>""</f>
        <v/>
      </c>
      <c r="AJ3" s="25" t="str">
        <f>""</f>
        <v/>
      </c>
      <c r="AK3" s="25" t="str">
        <f>""</f>
        <v/>
      </c>
      <c r="AL3" s="25" t="str">
        <f>""</f>
        <v/>
      </c>
      <c r="AM3" s="25" t="str">
        <f>""</f>
        <v/>
      </c>
      <c r="AN3" s="34" t="str">
        <f>""</f>
        <v/>
      </c>
      <c r="AO3" s="25" t="str">
        <f>""</f>
        <v/>
      </c>
      <c r="AP3" s="25" t="str">
        <f>""</f>
        <v/>
      </c>
      <c r="AQ3" s="25" t="str">
        <f>""</f>
        <v/>
      </c>
      <c r="AR3" s="25" t="str">
        <f>""</f>
        <v/>
      </c>
      <c r="AS3" s="25" t="str">
        <f>""</f>
        <v/>
      </c>
      <c r="AT3" s="25" t="str">
        <f>""</f>
        <v/>
      </c>
      <c r="AU3" s="25" t="str">
        <f>""</f>
        <v/>
      </c>
      <c r="AV3" s="25" t="str">
        <f>""</f>
        <v/>
      </c>
      <c r="AW3" s="25" t="str">
        <f>""</f>
        <v/>
      </c>
      <c r="AX3" s="35" t="str">
        <f>""</f>
        <v/>
      </c>
      <c r="AY3" s="35" t="str">
        <f>""</f>
        <v/>
      </c>
      <c r="AZ3" s="35" t="str">
        <f>""</f>
        <v/>
      </c>
      <c r="BA3" s="35" t="str">
        <f>""</f>
        <v/>
      </c>
      <c r="BB3" s="35" t="str">
        <f>""</f>
        <v/>
      </c>
      <c r="BC3" s="35" t="str">
        <f>""</f>
        <v/>
      </c>
      <c r="BD3" s="35" t="str">
        <f>""</f>
        <v/>
      </c>
      <c r="BE3" s="36"/>
      <c r="BF3" s="36"/>
      <c r="BG3" s="25" t="s">
        <v>274</v>
      </c>
    </row>
    <row r="4" spans="1:59" x14ac:dyDescent="0.25">
      <c r="A4" s="25" t="str">
        <f t="shared" si="0"/>
        <v>PE120001234</v>
      </c>
      <c r="B4" s="35" t="str">
        <f>""</f>
        <v/>
      </c>
      <c r="C4" s="25" t="str">
        <f>""</f>
        <v/>
      </c>
      <c r="D4" s="25" t="str">
        <f t="shared" si="1"/>
        <v>PE120001234</v>
      </c>
      <c r="E4" s="25" t="s">
        <v>151</v>
      </c>
      <c r="F4" s="25" t="s">
        <v>81</v>
      </c>
      <c r="G4" s="25">
        <v>2000</v>
      </c>
      <c r="H4" s="25">
        <v>1234</v>
      </c>
      <c r="I4" s="25" t="s">
        <v>82</v>
      </c>
      <c r="J4" s="25">
        <v>17457469</v>
      </c>
      <c r="K4" s="25" t="s">
        <v>50</v>
      </c>
      <c r="L4" s="25">
        <v>1</v>
      </c>
      <c r="M4" s="25" t="s">
        <v>49</v>
      </c>
      <c r="N4" s="25" t="s">
        <v>51</v>
      </c>
      <c r="O4" s="25" t="s">
        <v>47</v>
      </c>
      <c r="P4" s="25">
        <v>466987</v>
      </c>
      <c r="Q4" s="25" t="s">
        <v>61</v>
      </c>
      <c r="R4" s="25">
        <v>1</v>
      </c>
      <c r="S4" s="25" t="s">
        <v>49</v>
      </c>
      <c r="T4" s="25" t="s">
        <v>51</v>
      </c>
      <c r="U4" s="25" t="s">
        <v>47</v>
      </c>
      <c r="V4" s="25">
        <v>11110668</v>
      </c>
      <c r="W4" s="25" t="s">
        <v>122</v>
      </c>
      <c r="X4" s="25">
        <v>1</v>
      </c>
      <c r="Y4" s="25" t="s">
        <v>49</v>
      </c>
      <c r="Z4" s="25" t="s">
        <v>51</v>
      </c>
      <c r="AA4" s="25" t="str">
        <f>""</f>
        <v/>
      </c>
      <c r="AB4" s="25" t="str">
        <f>""</f>
        <v/>
      </c>
      <c r="AC4" s="25" t="str">
        <f>""</f>
        <v/>
      </c>
      <c r="AD4" s="25" t="str">
        <f>""</f>
        <v/>
      </c>
      <c r="AE4" s="25" t="str">
        <f>""</f>
        <v/>
      </c>
      <c r="AF4" s="25" t="str">
        <f>""</f>
        <v/>
      </c>
      <c r="AG4" s="25" t="str">
        <f>""</f>
        <v/>
      </c>
      <c r="AH4" s="25" t="str">
        <f>""</f>
        <v/>
      </c>
      <c r="AI4" s="25" t="str">
        <f>""</f>
        <v/>
      </c>
      <c r="AJ4" s="25" t="str">
        <f>""</f>
        <v/>
      </c>
      <c r="AK4" s="25" t="str">
        <f>""</f>
        <v/>
      </c>
      <c r="AL4" s="25" t="str">
        <f>""</f>
        <v/>
      </c>
      <c r="AM4" s="25" t="str">
        <f>""</f>
        <v/>
      </c>
      <c r="AN4" s="34" t="str">
        <f>""</f>
        <v/>
      </c>
      <c r="AO4" s="25" t="str">
        <f>""</f>
        <v/>
      </c>
      <c r="AP4" s="25" t="str">
        <f>""</f>
        <v/>
      </c>
      <c r="AQ4" s="25" t="str">
        <f>""</f>
        <v/>
      </c>
      <c r="AR4" s="25" t="str">
        <f>""</f>
        <v/>
      </c>
      <c r="AS4" s="25" t="str">
        <f>""</f>
        <v/>
      </c>
      <c r="AT4" s="25" t="str">
        <f>""</f>
        <v/>
      </c>
      <c r="AU4" s="25" t="str">
        <f>""</f>
        <v/>
      </c>
      <c r="AV4" s="25" t="str">
        <f>""</f>
        <v/>
      </c>
      <c r="AW4" s="25" t="str">
        <f>""</f>
        <v/>
      </c>
      <c r="AX4" s="35" t="str">
        <f>""</f>
        <v/>
      </c>
      <c r="AY4" s="35" t="str">
        <f>""</f>
        <v/>
      </c>
      <c r="AZ4" s="35" t="str">
        <f>""</f>
        <v/>
      </c>
      <c r="BA4" s="35" t="str">
        <f>""</f>
        <v/>
      </c>
      <c r="BB4" s="35" t="str">
        <f>""</f>
        <v/>
      </c>
      <c r="BC4" s="35" t="str">
        <f>""</f>
        <v/>
      </c>
      <c r="BD4" s="35" t="str">
        <f>""</f>
        <v/>
      </c>
      <c r="BE4" s="36"/>
      <c r="BF4" s="36"/>
      <c r="BG4" s="25" t="s">
        <v>274</v>
      </c>
    </row>
    <row r="5" spans="1:59" x14ac:dyDescent="0.25">
      <c r="A5" s="25" t="str">
        <f t="shared" si="0"/>
        <v>PE120001236</v>
      </c>
      <c r="B5" s="35" t="str">
        <f>""</f>
        <v/>
      </c>
      <c r="C5" s="39" t="str">
        <f>""</f>
        <v/>
      </c>
      <c r="D5" s="39" t="str">
        <f t="shared" si="1"/>
        <v>PE120001236</v>
      </c>
      <c r="E5" s="25" t="s">
        <v>153</v>
      </c>
      <c r="F5" s="39" t="s">
        <v>81</v>
      </c>
      <c r="G5" s="39">
        <v>2000</v>
      </c>
      <c r="H5" s="39">
        <v>1236</v>
      </c>
      <c r="I5" s="39" t="s">
        <v>92</v>
      </c>
      <c r="J5" s="39">
        <v>43919927</v>
      </c>
      <c r="K5" s="39" t="s">
        <v>50</v>
      </c>
      <c r="L5" s="39">
        <v>1</v>
      </c>
      <c r="M5" s="39" t="s">
        <v>49</v>
      </c>
      <c r="N5" s="39" t="s">
        <v>51</v>
      </c>
      <c r="O5" s="39" t="s">
        <v>92</v>
      </c>
      <c r="P5" s="39">
        <v>43919935</v>
      </c>
      <c r="Q5" s="39" t="s">
        <v>52</v>
      </c>
      <c r="R5" s="39">
        <v>1</v>
      </c>
      <c r="S5" s="39" t="s">
        <v>49</v>
      </c>
      <c r="T5" s="39" t="s">
        <v>51</v>
      </c>
      <c r="U5" s="39" t="s">
        <v>92</v>
      </c>
      <c r="V5" s="39">
        <v>43919943</v>
      </c>
      <c r="W5" s="39" t="s">
        <v>52</v>
      </c>
      <c r="X5" s="39">
        <v>1</v>
      </c>
      <c r="Y5" s="39" t="s">
        <v>49</v>
      </c>
      <c r="Z5" s="39" t="s">
        <v>51</v>
      </c>
      <c r="AA5" s="39" t="str">
        <f>""</f>
        <v/>
      </c>
      <c r="AB5" s="39" t="str">
        <f>""</f>
        <v/>
      </c>
      <c r="AC5" s="39" t="str">
        <f>""</f>
        <v/>
      </c>
      <c r="AD5" s="39" t="str">
        <f>""</f>
        <v/>
      </c>
      <c r="AE5" s="39" t="str">
        <f>""</f>
        <v/>
      </c>
      <c r="AF5" s="39" t="str">
        <f>""</f>
        <v/>
      </c>
      <c r="AG5" s="39" t="str">
        <f>""</f>
        <v/>
      </c>
      <c r="AH5" s="39" t="str">
        <f>""</f>
        <v/>
      </c>
      <c r="AI5" s="39" t="str">
        <f>""</f>
        <v/>
      </c>
      <c r="AJ5" s="39" t="str">
        <f>""</f>
        <v/>
      </c>
      <c r="AK5" s="39" t="str">
        <f>""</f>
        <v/>
      </c>
      <c r="AL5" s="39" t="str">
        <f>""</f>
        <v/>
      </c>
      <c r="AM5" s="39" t="str">
        <f>""</f>
        <v/>
      </c>
      <c r="AN5" s="40" t="str">
        <f>""</f>
        <v/>
      </c>
      <c r="AO5" s="39" t="str">
        <f>""</f>
        <v/>
      </c>
      <c r="AP5" s="39" t="str">
        <f>""</f>
        <v/>
      </c>
      <c r="AQ5" s="39" t="str">
        <f>""</f>
        <v/>
      </c>
      <c r="AR5" s="39" t="str">
        <f>""</f>
        <v/>
      </c>
      <c r="AS5" s="39" t="str">
        <f>""</f>
        <v/>
      </c>
      <c r="AT5" s="39" t="str">
        <f>""</f>
        <v/>
      </c>
      <c r="AU5" s="39" t="str">
        <f>""</f>
        <v/>
      </c>
      <c r="AV5" s="39" t="str">
        <f>""</f>
        <v/>
      </c>
      <c r="AW5" s="39" t="str">
        <f>""</f>
        <v/>
      </c>
      <c r="AX5" s="35" t="str">
        <f>""</f>
        <v/>
      </c>
      <c r="AY5" s="35" t="str">
        <f>""</f>
        <v/>
      </c>
      <c r="AZ5" s="35" t="str">
        <f>""</f>
        <v/>
      </c>
      <c r="BA5" s="35" t="str">
        <f>""</f>
        <v/>
      </c>
      <c r="BB5" s="35" t="str">
        <f>""</f>
        <v/>
      </c>
      <c r="BC5" s="35" t="str">
        <f>""</f>
        <v/>
      </c>
      <c r="BD5" s="35" t="str">
        <f>""</f>
        <v/>
      </c>
      <c r="BE5" s="36"/>
      <c r="BF5" s="36"/>
      <c r="BG5" s="25" t="s">
        <v>274</v>
      </c>
    </row>
    <row r="6" spans="1:59" x14ac:dyDescent="0.25">
      <c r="A6" s="25" t="str">
        <f t="shared" si="0"/>
        <v>PE120001251</v>
      </c>
      <c r="B6" s="35" t="str">
        <f>""</f>
        <v/>
      </c>
      <c r="C6" s="41" t="s">
        <v>90</v>
      </c>
      <c r="D6" s="41" t="s">
        <v>261</v>
      </c>
      <c r="E6" s="25" t="s">
        <v>80</v>
      </c>
      <c r="F6" s="41" t="s">
        <v>81</v>
      </c>
      <c r="G6" s="41">
        <v>2000</v>
      </c>
      <c r="H6" s="41">
        <v>1251</v>
      </c>
      <c r="I6" s="41" t="s">
        <v>47</v>
      </c>
      <c r="J6" s="41">
        <v>21707133</v>
      </c>
      <c r="K6" s="41" t="s">
        <v>48</v>
      </c>
      <c r="L6" s="41">
        <v>2</v>
      </c>
      <c r="M6" s="41" t="s">
        <v>49</v>
      </c>
      <c r="N6" s="41" t="s">
        <v>51</v>
      </c>
      <c r="O6" s="41" t="s">
        <v>47</v>
      </c>
      <c r="P6" s="41">
        <v>21707132</v>
      </c>
      <c r="Q6" s="41" t="s">
        <v>50</v>
      </c>
      <c r="R6" s="41">
        <v>1</v>
      </c>
      <c r="S6" s="41" t="s">
        <v>49</v>
      </c>
      <c r="T6" s="41" t="s">
        <v>51</v>
      </c>
      <c r="U6" s="41" t="s">
        <v>82</v>
      </c>
      <c r="V6" s="41">
        <v>15126069</v>
      </c>
      <c r="W6" s="41" t="s">
        <v>52</v>
      </c>
      <c r="X6" s="41">
        <v>1</v>
      </c>
      <c r="Y6" s="41" t="s">
        <v>49</v>
      </c>
      <c r="Z6" s="41" t="s">
        <v>51</v>
      </c>
      <c r="AA6" s="41" t="s">
        <v>82</v>
      </c>
      <c r="AB6" s="41">
        <v>11110683</v>
      </c>
      <c r="AC6" s="41" t="s">
        <v>342</v>
      </c>
      <c r="AD6" s="41">
        <v>1</v>
      </c>
      <c r="AE6" s="41" t="s">
        <v>49</v>
      </c>
      <c r="AF6" s="41" t="s">
        <v>51</v>
      </c>
      <c r="AG6" s="41" t="s">
        <v>1</v>
      </c>
      <c r="AH6" s="41">
        <v>20002050</v>
      </c>
      <c r="AI6" s="41" t="s">
        <v>136</v>
      </c>
      <c r="AJ6" s="41">
        <v>1</v>
      </c>
      <c r="AK6" s="41" t="s">
        <v>49</v>
      </c>
      <c r="AL6" s="41" t="s">
        <v>51</v>
      </c>
      <c r="AM6" s="41" t="s">
        <v>47</v>
      </c>
      <c r="AN6" s="42">
        <v>23068344</v>
      </c>
      <c r="AO6" s="41" t="s">
        <v>54</v>
      </c>
      <c r="AP6" s="41">
        <v>57</v>
      </c>
      <c r="AQ6" s="41" t="s">
        <v>53</v>
      </c>
      <c r="AR6" s="41" t="s">
        <v>66</v>
      </c>
      <c r="AS6" s="41"/>
      <c r="AT6" s="41"/>
      <c r="AU6" s="41"/>
      <c r="AV6" s="41"/>
      <c r="AW6" s="41"/>
      <c r="AX6" s="35" t="str">
        <f>""</f>
        <v/>
      </c>
      <c r="AY6" s="35" t="str">
        <f>""</f>
        <v/>
      </c>
      <c r="AZ6" s="35" t="str">
        <f>""</f>
        <v/>
      </c>
      <c r="BA6" s="35" t="str">
        <f>""</f>
        <v/>
      </c>
      <c r="BB6" s="35" t="str">
        <f>""</f>
        <v/>
      </c>
      <c r="BC6" s="35" t="str">
        <f>""</f>
        <v/>
      </c>
      <c r="BD6" s="35" t="str">
        <f>""</f>
        <v/>
      </c>
      <c r="BE6" s="36"/>
      <c r="BF6" s="36"/>
      <c r="BG6" s="25" t="s">
        <v>273</v>
      </c>
    </row>
    <row r="7" spans="1:59" x14ac:dyDescent="0.25">
      <c r="A7" s="25" t="str">
        <f t="shared" si="0"/>
        <v>PE120001253</v>
      </c>
      <c r="B7" s="35" t="str">
        <f>""</f>
        <v/>
      </c>
      <c r="C7" s="41" t="s">
        <v>98</v>
      </c>
      <c r="D7" s="41" t="s">
        <v>262</v>
      </c>
      <c r="E7" s="25" t="s">
        <v>101</v>
      </c>
      <c r="F7" s="41" t="s">
        <v>81</v>
      </c>
      <c r="G7" s="41">
        <v>2000</v>
      </c>
      <c r="H7" s="41">
        <v>1253</v>
      </c>
      <c r="I7" s="25" t="s">
        <v>82</v>
      </c>
      <c r="J7" s="25">
        <v>17457469</v>
      </c>
      <c r="K7" s="41" t="s">
        <v>50</v>
      </c>
      <c r="L7" s="41">
        <v>1</v>
      </c>
      <c r="M7" s="41" t="s">
        <v>49</v>
      </c>
      <c r="N7" s="41" t="s">
        <v>51</v>
      </c>
      <c r="O7" s="41" t="s">
        <v>82</v>
      </c>
      <c r="P7" s="41">
        <v>20805349</v>
      </c>
      <c r="Q7" s="41" t="s">
        <v>52</v>
      </c>
      <c r="R7" s="41">
        <v>1</v>
      </c>
      <c r="S7" s="41" t="s">
        <v>49</v>
      </c>
      <c r="T7" s="41" t="s">
        <v>51</v>
      </c>
      <c r="U7" s="41" t="s">
        <v>82</v>
      </c>
      <c r="V7" s="41">
        <v>11110683</v>
      </c>
      <c r="W7" s="41" t="s">
        <v>342</v>
      </c>
      <c r="X7" s="41">
        <v>1</v>
      </c>
      <c r="Y7" s="41" t="s">
        <v>49</v>
      </c>
      <c r="Z7" s="41" t="s">
        <v>51</v>
      </c>
      <c r="AA7" s="41" t="s">
        <v>1</v>
      </c>
      <c r="AB7" s="41">
        <v>20002050</v>
      </c>
      <c r="AC7" s="41" t="s">
        <v>136</v>
      </c>
      <c r="AD7" s="41">
        <v>1</v>
      </c>
      <c r="AE7" s="41" t="s">
        <v>49</v>
      </c>
      <c r="AF7" s="41" t="s">
        <v>51</v>
      </c>
      <c r="AG7" s="41" t="s">
        <v>47</v>
      </c>
      <c r="AH7" s="41">
        <v>23068344</v>
      </c>
      <c r="AI7" s="25" t="s">
        <v>127</v>
      </c>
      <c r="AJ7" s="41">
        <v>38</v>
      </c>
      <c r="AK7" s="41" t="s">
        <v>53</v>
      </c>
      <c r="AL7" s="41" t="str">
        <f>""</f>
        <v/>
      </c>
      <c r="AM7" s="41" t="str">
        <f>""</f>
        <v/>
      </c>
      <c r="AN7" s="41" t="str">
        <f>""</f>
        <v/>
      </c>
      <c r="AO7" s="41" t="str">
        <f>""</f>
        <v/>
      </c>
      <c r="AP7" s="41" t="str">
        <f>""</f>
        <v/>
      </c>
      <c r="AQ7" s="41" t="str">
        <f>""</f>
        <v/>
      </c>
      <c r="AR7" s="41" t="str">
        <f>""</f>
        <v/>
      </c>
      <c r="AS7" s="41" t="str">
        <f>""</f>
        <v/>
      </c>
      <c r="AT7" s="41" t="str">
        <f>""</f>
        <v/>
      </c>
      <c r="AU7" s="41" t="str">
        <f>""</f>
        <v/>
      </c>
      <c r="AV7" s="41" t="str">
        <f>""</f>
        <v/>
      </c>
      <c r="AW7" s="41" t="str">
        <f>""</f>
        <v/>
      </c>
      <c r="AX7" s="41" t="str">
        <f>""</f>
        <v/>
      </c>
      <c r="AY7" s="35" t="str">
        <f>""</f>
        <v/>
      </c>
      <c r="AZ7" s="35" t="str">
        <f>""</f>
        <v/>
      </c>
      <c r="BA7" s="35" t="str">
        <f>""</f>
        <v/>
      </c>
      <c r="BB7" s="35" t="str">
        <f>""</f>
        <v/>
      </c>
      <c r="BC7" s="35" t="str">
        <f>""</f>
        <v/>
      </c>
      <c r="BD7" s="35" t="str">
        <f>""</f>
        <v/>
      </c>
      <c r="BE7" s="36"/>
      <c r="BF7" s="36"/>
      <c r="BG7" s="25" t="s">
        <v>273</v>
      </c>
    </row>
    <row r="8" spans="1:59" x14ac:dyDescent="0.25">
      <c r="A8" s="25" t="str">
        <f t="shared" si="0"/>
        <v>PE120001255</v>
      </c>
      <c r="B8" s="35" t="str">
        <f>""</f>
        <v/>
      </c>
      <c r="C8" s="41" t="s">
        <v>99</v>
      </c>
      <c r="D8" s="41" t="s">
        <v>263</v>
      </c>
      <c r="E8" s="25" t="s">
        <v>102</v>
      </c>
      <c r="F8" s="41" t="s">
        <v>81</v>
      </c>
      <c r="G8" s="41">
        <v>2000</v>
      </c>
      <c r="H8" s="41">
        <v>1255</v>
      </c>
      <c r="I8" s="41" t="s">
        <v>82</v>
      </c>
      <c r="J8" s="41">
        <v>17457469</v>
      </c>
      <c r="K8" s="41" t="s">
        <v>50</v>
      </c>
      <c r="L8" s="41">
        <v>1</v>
      </c>
      <c r="M8" s="41" t="s">
        <v>49</v>
      </c>
      <c r="N8" s="41" t="s">
        <v>51</v>
      </c>
      <c r="O8" s="41" t="s">
        <v>47</v>
      </c>
      <c r="P8" s="41">
        <v>466987</v>
      </c>
      <c r="Q8" s="41" t="s">
        <v>61</v>
      </c>
      <c r="R8" s="41">
        <v>1</v>
      </c>
      <c r="S8" s="41" t="s">
        <v>49</v>
      </c>
      <c r="T8" s="41" t="s">
        <v>51</v>
      </c>
      <c r="U8" s="41" t="s">
        <v>47</v>
      </c>
      <c r="V8" s="41">
        <v>11110668</v>
      </c>
      <c r="W8" s="41" t="s">
        <v>122</v>
      </c>
      <c r="X8" s="41">
        <v>1</v>
      </c>
      <c r="Y8" s="41" t="s">
        <v>49</v>
      </c>
      <c r="Z8" s="41" t="s">
        <v>51</v>
      </c>
      <c r="AA8" s="41" t="s">
        <v>1</v>
      </c>
      <c r="AB8" s="41">
        <v>20002050</v>
      </c>
      <c r="AC8" s="41" t="s">
        <v>136</v>
      </c>
      <c r="AD8" s="41">
        <v>1</v>
      </c>
      <c r="AE8" s="41" t="s">
        <v>49</v>
      </c>
      <c r="AF8" s="41" t="s">
        <v>51</v>
      </c>
      <c r="AG8" s="41" t="s">
        <v>47</v>
      </c>
      <c r="AH8" s="41">
        <v>23068344</v>
      </c>
      <c r="AI8" s="25" t="s">
        <v>127</v>
      </c>
      <c r="AJ8" s="41">
        <v>19</v>
      </c>
      <c r="AK8" s="41" t="s">
        <v>53</v>
      </c>
      <c r="AL8" s="41" t="str">
        <f>""</f>
        <v/>
      </c>
      <c r="AM8" s="41" t="str">
        <f>""</f>
        <v/>
      </c>
      <c r="AN8" s="41" t="str">
        <f>""</f>
        <v/>
      </c>
      <c r="AO8" s="41" t="str">
        <f>""</f>
        <v/>
      </c>
      <c r="AP8" s="41" t="str">
        <f>""</f>
        <v/>
      </c>
      <c r="AQ8" s="41" t="str">
        <f>""</f>
        <v/>
      </c>
      <c r="AR8" s="41" t="str">
        <f>""</f>
        <v/>
      </c>
      <c r="AS8" s="41" t="str">
        <f>""</f>
        <v/>
      </c>
      <c r="AT8" s="41" t="str">
        <f>""</f>
        <v/>
      </c>
      <c r="AU8" s="41" t="str">
        <f>""</f>
        <v/>
      </c>
      <c r="AV8" s="41" t="str">
        <f>""</f>
        <v/>
      </c>
      <c r="AW8" s="41" t="str">
        <f>""</f>
        <v/>
      </c>
      <c r="AX8" s="41" t="str">
        <f>""</f>
        <v/>
      </c>
      <c r="AY8" s="35" t="str">
        <f>""</f>
        <v/>
      </c>
      <c r="AZ8" s="35" t="str">
        <f>""</f>
        <v/>
      </c>
      <c r="BA8" s="35" t="str">
        <f>""</f>
        <v/>
      </c>
      <c r="BB8" s="35" t="str">
        <f>""</f>
        <v/>
      </c>
      <c r="BC8" s="35" t="str">
        <f>""</f>
        <v/>
      </c>
      <c r="BD8" s="35" t="str">
        <f>""</f>
        <v/>
      </c>
      <c r="BE8" s="36"/>
      <c r="BF8" s="36"/>
      <c r="BG8" s="25" t="s">
        <v>273</v>
      </c>
    </row>
    <row r="9" spans="1:59" x14ac:dyDescent="0.25">
      <c r="A9" s="25" t="str">
        <f t="shared" si="0"/>
        <v>PE120001257</v>
      </c>
      <c r="B9" s="35" t="str">
        <f>""</f>
        <v/>
      </c>
      <c r="C9" s="41" t="s">
        <v>100</v>
      </c>
      <c r="D9" s="41" t="s">
        <v>264</v>
      </c>
      <c r="E9" s="25" t="s">
        <v>103</v>
      </c>
      <c r="F9" s="41" t="s">
        <v>81</v>
      </c>
      <c r="G9" s="41">
        <v>2000</v>
      </c>
      <c r="H9" s="41">
        <v>1257</v>
      </c>
      <c r="I9" s="41" t="s">
        <v>92</v>
      </c>
      <c r="J9" s="41">
        <v>43919927</v>
      </c>
      <c r="K9" s="41" t="s">
        <v>50</v>
      </c>
      <c r="L9" s="41">
        <v>1</v>
      </c>
      <c r="M9" s="41" t="s">
        <v>49</v>
      </c>
      <c r="N9" s="41" t="s">
        <v>51</v>
      </c>
      <c r="O9" s="41" t="s">
        <v>92</v>
      </c>
      <c r="P9" s="41">
        <v>43919935</v>
      </c>
      <c r="Q9" s="41" t="s">
        <v>52</v>
      </c>
      <c r="R9" s="41">
        <v>1</v>
      </c>
      <c r="S9" s="41" t="s">
        <v>49</v>
      </c>
      <c r="T9" s="41" t="s">
        <v>51</v>
      </c>
      <c r="U9" s="41" t="s">
        <v>92</v>
      </c>
      <c r="V9" s="41">
        <v>43919943</v>
      </c>
      <c r="W9" s="41" t="s">
        <v>52</v>
      </c>
      <c r="X9" s="41">
        <v>1</v>
      </c>
      <c r="Y9" s="41" t="s">
        <v>49</v>
      </c>
      <c r="Z9" s="41" t="s">
        <v>51</v>
      </c>
      <c r="AA9" s="41" t="s">
        <v>1</v>
      </c>
      <c r="AB9" s="41">
        <v>20002050</v>
      </c>
      <c r="AC9" s="41" t="s">
        <v>136</v>
      </c>
      <c r="AD9" s="41">
        <v>1</v>
      </c>
      <c r="AE9" s="41" t="s">
        <v>49</v>
      </c>
      <c r="AF9" s="41" t="s">
        <v>51</v>
      </c>
      <c r="AG9" s="41" t="s">
        <v>47</v>
      </c>
      <c r="AH9" s="41">
        <v>23068344</v>
      </c>
      <c r="AI9" s="25" t="s">
        <v>127</v>
      </c>
      <c r="AJ9" s="41">
        <v>19</v>
      </c>
      <c r="AK9" s="41" t="s">
        <v>53</v>
      </c>
      <c r="AL9" s="41" t="str">
        <f>""</f>
        <v/>
      </c>
      <c r="AM9" s="41" t="str">
        <f>""</f>
        <v/>
      </c>
      <c r="AN9" s="41" t="str">
        <f>""</f>
        <v/>
      </c>
      <c r="AO9" s="41" t="str">
        <f>""</f>
        <v/>
      </c>
      <c r="AP9" s="41" t="str">
        <f>""</f>
        <v/>
      </c>
      <c r="AQ9" s="41" t="str">
        <f>""</f>
        <v/>
      </c>
      <c r="AR9" s="41" t="str">
        <f>""</f>
        <v/>
      </c>
      <c r="AS9" s="41" t="str">
        <f>""</f>
        <v/>
      </c>
      <c r="AT9" s="41" t="str">
        <f>""</f>
        <v/>
      </c>
      <c r="AU9" s="41" t="str">
        <f>""</f>
        <v/>
      </c>
      <c r="AV9" s="41" t="str">
        <f>""</f>
        <v/>
      </c>
      <c r="AW9" s="41" t="str">
        <f>""</f>
        <v/>
      </c>
      <c r="AX9" s="41" t="str">
        <f>""</f>
        <v/>
      </c>
      <c r="AY9" s="35" t="str">
        <f>""</f>
        <v/>
      </c>
      <c r="AZ9" s="35" t="str">
        <f>""</f>
        <v/>
      </c>
      <c r="BA9" s="35" t="str">
        <f>""</f>
        <v/>
      </c>
      <c r="BB9" s="35" t="str">
        <f>""</f>
        <v/>
      </c>
      <c r="BC9" s="35" t="str">
        <f>""</f>
        <v/>
      </c>
      <c r="BD9" s="35" t="str">
        <f>""</f>
        <v/>
      </c>
      <c r="BE9" s="36"/>
      <c r="BF9" s="36"/>
      <c r="BG9" s="25" t="s">
        <v>273</v>
      </c>
    </row>
    <row r="10" spans="1:59" x14ac:dyDescent="0.25">
      <c r="A10" s="25" t="str">
        <f t="shared" si="0"/>
        <v>PE120001259</v>
      </c>
      <c r="B10" s="35" t="str">
        <f>""</f>
        <v/>
      </c>
      <c r="C10" s="41" t="s">
        <v>104</v>
      </c>
      <c r="D10" s="41" t="s">
        <v>265</v>
      </c>
      <c r="E10" s="25" t="s">
        <v>165</v>
      </c>
      <c r="F10" s="41" t="s">
        <v>81</v>
      </c>
      <c r="G10" s="41">
        <v>2000</v>
      </c>
      <c r="H10" s="41">
        <v>1259</v>
      </c>
      <c r="I10" s="41" t="s">
        <v>47</v>
      </c>
      <c r="J10" s="41">
        <v>21707134</v>
      </c>
      <c r="K10" s="41" t="s">
        <v>60</v>
      </c>
      <c r="L10" s="41">
        <v>2</v>
      </c>
      <c r="M10" s="41" t="s">
        <v>49</v>
      </c>
      <c r="N10" s="41" t="s">
        <v>51</v>
      </c>
      <c r="O10" s="41" t="s">
        <v>47</v>
      </c>
      <c r="P10" s="41">
        <v>466987</v>
      </c>
      <c r="Q10" s="41" t="s">
        <v>61</v>
      </c>
      <c r="R10" s="41">
        <v>2</v>
      </c>
      <c r="S10" s="41" t="s">
        <v>49</v>
      </c>
      <c r="T10" s="41" t="s">
        <v>51</v>
      </c>
      <c r="U10" s="41" t="s">
        <v>47</v>
      </c>
      <c r="V10" s="41">
        <v>21707132</v>
      </c>
      <c r="W10" s="41" t="s">
        <v>50</v>
      </c>
      <c r="X10" s="41">
        <v>1</v>
      </c>
      <c r="Y10" s="41" t="s">
        <v>49</v>
      </c>
      <c r="Z10" s="41" t="s">
        <v>51</v>
      </c>
      <c r="AA10" s="41" t="s">
        <v>47</v>
      </c>
      <c r="AB10" s="41">
        <v>8159975</v>
      </c>
      <c r="AC10" s="41" t="s">
        <v>343</v>
      </c>
      <c r="AD10" s="41">
        <v>1</v>
      </c>
      <c r="AE10" s="41" t="s">
        <v>49</v>
      </c>
      <c r="AF10" s="41" t="s">
        <v>51</v>
      </c>
      <c r="AG10" s="41" t="s">
        <v>1</v>
      </c>
      <c r="AH10" s="41">
        <v>20002050</v>
      </c>
      <c r="AI10" s="41" t="s">
        <v>136</v>
      </c>
      <c r="AJ10" s="41">
        <v>1</v>
      </c>
      <c r="AK10" s="41" t="s">
        <v>49</v>
      </c>
      <c r="AL10" s="41" t="s">
        <v>51</v>
      </c>
      <c r="AM10" s="41" t="s">
        <v>47</v>
      </c>
      <c r="AN10" s="42">
        <v>23068344</v>
      </c>
      <c r="AO10" s="41" t="s">
        <v>59</v>
      </c>
      <c r="AP10" s="41">
        <v>38</v>
      </c>
      <c r="AQ10" s="41" t="s">
        <v>53</v>
      </c>
      <c r="AR10" s="41" t="str">
        <f>""</f>
        <v/>
      </c>
      <c r="AS10" s="41" t="str">
        <f>""</f>
        <v/>
      </c>
      <c r="AT10" s="41" t="str">
        <f>""</f>
        <v/>
      </c>
      <c r="AU10" s="41" t="str">
        <f>""</f>
        <v/>
      </c>
      <c r="AV10" s="41" t="str">
        <f>""</f>
        <v/>
      </c>
      <c r="AW10" s="41" t="str">
        <f>""</f>
        <v/>
      </c>
      <c r="AX10" s="35" t="str">
        <f>""</f>
        <v/>
      </c>
      <c r="AY10" s="35" t="str">
        <f>""</f>
        <v/>
      </c>
      <c r="AZ10" s="35" t="str">
        <f>""</f>
        <v/>
      </c>
      <c r="BA10" s="35" t="str">
        <f>""</f>
        <v/>
      </c>
      <c r="BB10" s="35" t="str">
        <f>""</f>
        <v/>
      </c>
      <c r="BC10" s="35" t="str">
        <f>""</f>
        <v/>
      </c>
      <c r="BD10" s="35" t="str">
        <f>""</f>
        <v/>
      </c>
      <c r="BE10" s="36"/>
      <c r="BF10" s="36"/>
      <c r="BG10" s="25" t="s">
        <v>273</v>
      </c>
    </row>
    <row r="11" spans="1:59" x14ac:dyDescent="0.25">
      <c r="A11" s="25" t="str">
        <f t="shared" si="0"/>
        <v>PE120001261</v>
      </c>
      <c r="B11" s="35" t="str">
        <f>""</f>
        <v/>
      </c>
      <c r="C11" s="41" t="s">
        <v>107</v>
      </c>
      <c r="D11" s="41" t="s">
        <v>266</v>
      </c>
      <c r="E11" s="25" t="s">
        <v>105</v>
      </c>
      <c r="F11" s="41" t="s">
        <v>81</v>
      </c>
      <c r="G11" s="41">
        <v>2000</v>
      </c>
      <c r="H11" s="41">
        <v>1261</v>
      </c>
      <c r="I11" s="41" t="s">
        <v>47</v>
      </c>
      <c r="J11" s="41">
        <v>21707133</v>
      </c>
      <c r="K11" s="41" t="s">
        <v>48</v>
      </c>
      <c r="L11" s="41">
        <v>2</v>
      </c>
      <c r="M11" s="41" t="s">
        <v>49</v>
      </c>
      <c r="N11" s="41" t="s">
        <v>51</v>
      </c>
      <c r="O11" s="41" t="s">
        <v>47</v>
      </c>
      <c r="P11" s="41">
        <v>21707132</v>
      </c>
      <c r="Q11" s="41" t="s">
        <v>50</v>
      </c>
      <c r="R11" s="41">
        <v>1</v>
      </c>
      <c r="S11" s="41" t="s">
        <v>49</v>
      </c>
      <c r="T11" s="41" t="s">
        <v>51</v>
      </c>
      <c r="U11" s="41" t="s">
        <v>47</v>
      </c>
      <c r="V11" s="41">
        <v>8193841</v>
      </c>
      <c r="W11" s="41" t="s">
        <v>63</v>
      </c>
      <c r="X11" s="41">
        <v>1</v>
      </c>
      <c r="Y11" s="41" t="s">
        <v>49</v>
      </c>
      <c r="Z11" s="41" t="s">
        <v>51</v>
      </c>
      <c r="AA11" s="41" t="s">
        <v>47</v>
      </c>
      <c r="AB11" s="41">
        <v>8159975</v>
      </c>
      <c r="AC11" s="41" t="s">
        <v>343</v>
      </c>
      <c r="AD11" s="41">
        <v>1</v>
      </c>
      <c r="AE11" s="41" t="s">
        <v>49</v>
      </c>
      <c r="AF11" s="41" t="s">
        <v>51</v>
      </c>
      <c r="AG11" s="41" t="s">
        <v>1</v>
      </c>
      <c r="AH11" s="41">
        <v>20002050</v>
      </c>
      <c r="AI11" s="41" t="s">
        <v>136</v>
      </c>
      <c r="AJ11" s="41">
        <v>1</v>
      </c>
      <c r="AK11" s="41" t="s">
        <v>49</v>
      </c>
      <c r="AL11" s="41" t="s">
        <v>51</v>
      </c>
      <c r="AM11" s="41" t="s">
        <v>47</v>
      </c>
      <c r="AN11" s="42">
        <v>23068344</v>
      </c>
      <c r="AO11" s="41" t="s">
        <v>59</v>
      </c>
      <c r="AP11" s="41">
        <v>38</v>
      </c>
      <c r="AQ11" s="41" t="s">
        <v>53</v>
      </c>
      <c r="AR11" s="41" t="str">
        <f>""</f>
        <v/>
      </c>
      <c r="AS11" s="41" t="str">
        <f>""</f>
        <v/>
      </c>
      <c r="AT11" s="41" t="str">
        <f>""</f>
        <v/>
      </c>
      <c r="AU11" s="41" t="str">
        <f>""</f>
        <v/>
      </c>
      <c r="AV11" s="41" t="str">
        <f>""</f>
        <v/>
      </c>
      <c r="AW11" s="41" t="str">
        <f>""</f>
        <v/>
      </c>
      <c r="AX11" s="35" t="str">
        <f>""</f>
        <v/>
      </c>
      <c r="AY11" s="35" t="str">
        <f>""</f>
        <v/>
      </c>
      <c r="AZ11" s="35" t="str">
        <f>""</f>
        <v/>
      </c>
      <c r="BA11" s="35" t="str">
        <f>""</f>
        <v/>
      </c>
      <c r="BB11" s="35" t="str">
        <f>""</f>
        <v/>
      </c>
      <c r="BC11" s="35" t="str">
        <f>""</f>
        <v/>
      </c>
      <c r="BD11" s="35" t="str">
        <f>""</f>
        <v/>
      </c>
      <c r="BE11" s="36"/>
      <c r="BF11" s="36"/>
      <c r="BG11" s="25" t="s">
        <v>273</v>
      </c>
    </row>
    <row r="12" spans="1:59" x14ac:dyDescent="0.25">
      <c r="A12" s="25" t="str">
        <f t="shared" si="0"/>
        <v>PE120001264</v>
      </c>
      <c r="B12" s="35" t="str">
        <f>""</f>
        <v/>
      </c>
      <c r="C12" s="41" t="s">
        <v>106</v>
      </c>
      <c r="D12" s="41" t="s">
        <v>267</v>
      </c>
      <c r="E12" s="25" t="s">
        <v>339</v>
      </c>
      <c r="F12" s="41" t="s">
        <v>81</v>
      </c>
      <c r="G12" s="41">
        <v>2000</v>
      </c>
      <c r="H12" s="41">
        <v>1264</v>
      </c>
      <c r="I12" s="25" t="s">
        <v>82</v>
      </c>
      <c r="J12" s="25">
        <v>17457469</v>
      </c>
      <c r="K12" s="41" t="s">
        <v>50</v>
      </c>
      <c r="L12" s="41">
        <v>1</v>
      </c>
      <c r="M12" s="41" t="s">
        <v>49</v>
      </c>
      <c r="N12" s="41" t="s">
        <v>51</v>
      </c>
      <c r="O12" s="41" t="s">
        <v>82</v>
      </c>
      <c r="P12" s="41">
        <v>20805349</v>
      </c>
      <c r="Q12" s="41" t="s">
        <v>52</v>
      </c>
      <c r="R12" s="41">
        <v>1</v>
      </c>
      <c r="S12" s="41" t="s">
        <v>49</v>
      </c>
      <c r="T12" s="41" t="s">
        <v>51</v>
      </c>
      <c r="U12" s="41" t="s">
        <v>82</v>
      </c>
      <c r="V12" s="41">
        <v>11110683</v>
      </c>
      <c r="W12" s="41" t="s">
        <v>342</v>
      </c>
      <c r="X12" s="41">
        <v>1</v>
      </c>
      <c r="Y12" s="41" t="s">
        <v>49</v>
      </c>
      <c r="Z12" s="41" t="s">
        <v>51</v>
      </c>
      <c r="AA12" s="41" t="s">
        <v>1</v>
      </c>
      <c r="AB12" s="41">
        <v>20002050</v>
      </c>
      <c r="AC12" s="41" t="s">
        <v>136</v>
      </c>
      <c r="AD12" s="41">
        <v>1</v>
      </c>
      <c r="AE12" s="41" t="s">
        <v>49</v>
      </c>
      <c r="AF12" s="41" t="s">
        <v>51</v>
      </c>
      <c r="AG12" s="41" t="s">
        <v>47</v>
      </c>
      <c r="AH12" s="41">
        <v>23068343</v>
      </c>
      <c r="AI12" s="41" t="s">
        <v>344</v>
      </c>
      <c r="AJ12" s="41">
        <v>1</v>
      </c>
      <c r="AK12" s="41" t="s">
        <v>65</v>
      </c>
      <c r="AL12" s="41" t="s">
        <v>51</v>
      </c>
      <c r="AM12" s="41" t="s">
        <v>47</v>
      </c>
      <c r="AN12" s="42">
        <v>23068344</v>
      </c>
      <c r="AO12" s="41" t="s">
        <v>59</v>
      </c>
      <c r="AP12" s="41">
        <v>19</v>
      </c>
      <c r="AQ12" s="41" t="s">
        <v>53</v>
      </c>
      <c r="AR12" s="41" t="str">
        <f>""</f>
        <v/>
      </c>
      <c r="AS12" s="41" t="str">
        <f>""</f>
        <v/>
      </c>
      <c r="AT12" s="41" t="str">
        <f>""</f>
        <v/>
      </c>
      <c r="AU12" s="41" t="str">
        <f>""</f>
        <v/>
      </c>
      <c r="AV12" s="41" t="str">
        <f>""</f>
        <v/>
      </c>
      <c r="AW12" s="41" t="str">
        <f>""</f>
        <v/>
      </c>
      <c r="AX12" s="35" t="str">
        <f>""</f>
        <v/>
      </c>
      <c r="AY12" s="35" t="str">
        <f>""</f>
        <v/>
      </c>
      <c r="AZ12" s="35" t="str">
        <f>""</f>
        <v/>
      </c>
      <c r="BA12" s="35" t="str">
        <f>""</f>
        <v/>
      </c>
      <c r="BB12" s="35" t="str">
        <f>""</f>
        <v/>
      </c>
      <c r="BC12" s="35" t="str">
        <f>""</f>
        <v/>
      </c>
      <c r="BD12" s="35" t="str">
        <f>""</f>
        <v/>
      </c>
      <c r="BE12" s="36"/>
      <c r="BF12" s="36"/>
      <c r="BG12" s="25" t="s">
        <v>273</v>
      </c>
    </row>
    <row r="13" spans="1:59" x14ac:dyDescent="0.25">
      <c r="A13" s="25" t="str">
        <f t="shared" si="0"/>
        <v>PE120001238</v>
      </c>
      <c r="B13" s="35" t="str">
        <f>""</f>
        <v/>
      </c>
      <c r="C13" s="41" t="s">
        <v>121</v>
      </c>
      <c r="D13" s="70" t="s">
        <v>260</v>
      </c>
      <c r="E13" s="25" t="s">
        <v>155</v>
      </c>
      <c r="F13" s="41" t="s">
        <v>81</v>
      </c>
      <c r="G13" s="41">
        <v>2000</v>
      </c>
      <c r="H13" s="41">
        <v>1238</v>
      </c>
      <c r="I13" s="41" t="s">
        <v>47</v>
      </c>
      <c r="J13" s="41">
        <v>11110668</v>
      </c>
      <c r="K13" s="41" t="s">
        <v>122</v>
      </c>
      <c r="L13" s="41">
        <v>1</v>
      </c>
      <c r="M13" s="41" t="s">
        <v>49</v>
      </c>
      <c r="N13" s="41" t="s">
        <v>51</v>
      </c>
      <c r="O13" s="41" t="s">
        <v>47</v>
      </c>
      <c r="P13" s="41">
        <v>21707132</v>
      </c>
      <c r="Q13" s="41" t="s">
        <v>50</v>
      </c>
      <c r="R13" s="41">
        <v>1</v>
      </c>
      <c r="S13" s="41" t="s">
        <v>49</v>
      </c>
      <c r="T13" s="41" t="s">
        <v>51</v>
      </c>
      <c r="U13" s="41" t="s">
        <v>47</v>
      </c>
      <c r="V13" s="41">
        <v>21707133</v>
      </c>
      <c r="W13" s="41" t="s">
        <v>48</v>
      </c>
      <c r="X13" s="41">
        <v>2</v>
      </c>
      <c r="Y13" s="41" t="s">
        <v>49</v>
      </c>
      <c r="Z13" s="41" t="s">
        <v>51</v>
      </c>
      <c r="AA13" s="41" t="s">
        <v>82</v>
      </c>
      <c r="AB13" s="41">
        <v>15126069</v>
      </c>
      <c r="AC13" s="41" t="s">
        <v>63</v>
      </c>
      <c r="AD13" s="41">
        <v>1</v>
      </c>
      <c r="AE13" s="41" t="s">
        <v>49</v>
      </c>
      <c r="AF13" s="41" t="s">
        <v>51</v>
      </c>
      <c r="AG13" s="41" t="s">
        <v>47</v>
      </c>
      <c r="AH13" s="41">
        <v>85121022</v>
      </c>
      <c r="AI13" s="41" t="s">
        <v>123</v>
      </c>
      <c r="AJ13" s="41">
        <v>19</v>
      </c>
      <c r="AK13" s="41" t="s">
        <v>53</v>
      </c>
      <c r="AL13" s="41" t="str">
        <f>""</f>
        <v/>
      </c>
      <c r="AM13" s="41" t="s">
        <v>47</v>
      </c>
      <c r="AN13" s="42">
        <v>85121022</v>
      </c>
      <c r="AO13" s="41" t="s">
        <v>123</v>
      </c>
      <c r="AP13" s="41">
        <v>19</v>
      </c>
      <c r="AQ13" s="41" t="s">
        <v>53</v>
      </c>
      <c r="AR13" s="41" t="str">
        <f>""</f>
        <v/>
      </c>
      <c r="AS13" s="41" t="s">
        <v>47</v>
      </c>
      <c r="AT13" s="41">
        <v>85121022</v>
      </c>
      <c r="AU13" s="41" t="s">
        <v>123</v>
      </c>
      <c r="AV13" s="41">
        <v>19</v>
      </c>
      <c r="AW13" s="41" t="s">
        <v>53</v>
      </c>
      <c r="AX13" s="35" t="str">
        <f>""</f>
        <v/>
      </c>
      <c r="AY13" s="35" t="str">
        <f>""</f>
        <v/>
      </c>
      <c r="AZ13" s="35" t="str">
        <f>""</f>
        <v/>
      </c>
      <c r="BA13" s="35" t="str">
        <f>""</f>
        <v/>
      </c>
      <c r="BB13" s="35" t="str">
        <f>""</f>
        <v/>
      </c>
      <c r="BC13" s="35" t="str">
        <f>""</f>
        <v/>
      </c>
      <c r="BD13" s="35" t="str">
        <f>""</f>
        <v/>
      </c>
      <c r="BE13" s="36"/>
      <c r="BF13" s="36"/>
      <c r="BG13" s="25" t="s">
        <v>273</v>
      </c>
    </row>
    <row r="14" spans="1:59" x14ac:dyDescent="0.25">
      <c r="A14" s="25" t="str">
        <f t="shared" si="0"/>
        <v>PE120001266</v>
      </c>
      <c r="B14" s="35" t="str">
        <f>""</f>
        <v/>
      </c>
      <c r="C14" s="43" t="s">
        <v>116</v>
      </c>
      <c r="D14" s="43" t="s">
        <v>117</v>
      </c>
      <c r="E14" s="25" t="s">
        <v>169</v>
      </c>
      <c r="F14" s="43" t="s">
        <v>81</v>
      </c>
      <c r="G14" s="43">
        <v>2000</v>
      </c>
      <c r="H14" s="43">
        <v>1266</v>
      </c>
      <c r="I14" s="43" t="s">
        <v>47</v>
      </c>
      <c r="J14" s="43">
        <v>21707132</v>
      </c>
      <c r="K14" s="43" t="s">
        <v>50</v>
      </c>
      <c r="L14" s="43">
        <v>4</v>
      </c>
      <c r="M14" s="43" t="s">
        <v>49</v>
      </c>
      <c r="N14" s="43" t="s">
        <v>51</v>
      </c>
      <c r="O14" s="43" t="s">
        <v>47</v>
      </c>
      <c r="P14" s="43">
        <v>21707133</v>
      </c>
      <c r="Q14" s="43" t="s">
        <v>48</v>
      </c>
      <c r="R14" s="43">
        <v>8</v>
      </c>
      <c r="S14" s="43" t="s">
        <v>49</v>
      </c>
      <c r="T14" s="43" t="s">
        <v>51</v>
      </c>
      <c r="U14" s="43" t="s">
        <v>82</v>
      </c>
      <c r="V14" s="43">
        <v>15126069</v>
      </c>
      <c r="W14" s="43" t="s">
        <v>52</v>
      </c>
      <c r="X14" s="43">
        <v>4</v>
      </c>
      <c r="Y14" s="43" t="s">
        <v>49</v>
      </c>
      <c r="Z14" s="43" t="s">
        <v>51</v>
      </c>
      <c r="AA14" s="43" t="s">
        <v>82</v>
      </c>
      <c r="AB14" s="43">
        <v>11110683</v>
      </c>
      <c r="AC14" s="43" t="s">
        <v>342</v>
      </c>
      <c r="AD14" s="43">
        <v>4</v>
      </c>
      <c r="AE14" s="43" t="s">
        <v>49</v>
      </c>
      <c r="AF14" s="43" t="s">
        <v>51</v>
      </c>
      <c r="AG14" s="43" t="s">
        <v>1</v>
      </c>
      <c r="AH14" s="43">
        <v>20002050</v>
      </c>
      <c r="AI14" s="43" t="s">
        <v>136</v>
      </c>
      <c r="AJ14" s="43">
        <v>4</v>
      </c>
      <c r="AK14" s="43" t="s">
        <v>49</v>
      </c>
      <c r="AL14" s="43" t="s">
        <v>51</v>
      </c>
      <c r="AM14" s="43" t="s">
        <v>47</v>
      </c>
      <c r="AN14" s="44">
        <v>23068345</v>
      </c>
      <c r="AO14" s="43" t="s">
        <v>64</v>
      </c>
      <c r="AP14" s="43">
        <v>208</v>
      </c>
      <c r="AQ14" s="43" t="s">
        <v>53</v>
      </c>
      <c r="AR14" s="43" t="str">
        <f>""</f>
        <v/>
      </c>
      <c r="AS14" s="43" t="str">
        <f>""</f>
        <v/>
      </c>
      <c r="AT14" s="43" t="str">
        <f>""</f>
        <v/>
      </c>
      <c r="AU14" s="43" t="str">
        <f>""</f>
        <v/>
      </c>
      <c r="AV14" s="43" t="str">
        <f>""</f>
        <v/>
      </c>
      <c r="AW14" s="43" t="str">
        <f>""</f>
        <v/>
      </c>
      <c r="AX14" s="35" t="str">
        <f>""</f>
        <v/>
      </c>
      <c r="AY14" s="35" t="str">
        <f>""</f>
        <v/>
      </c>
      <c r="AZ14" s="35" t="str">
        <f>""</f>
        <v/>
      </c>
      <c r="BA14" s="35" t="str">
        <f>""</f>
        <v/>
      </c>
      <c r="BB14" s="35" t="str">
        <f>""</f>
        <v/>
      </c>
      <c r="BC14" s="35" t="str">
        <f>""</f>
        <v/>
      </c>
      <c r="BD14" s="35" t="str">
        <f>""</f>
        <v/>
      </c>
      <c r="BE14" s="36"/>
      <c r="BF14" s="36"/>
      <c r="BG14" s="25" t="s">
        <v>273</v>
      </c>
    </row>
    <row r="15" spans="1:59" ht="14.4" thickBot="1" x14ac:dyDescent="0.3">
      <c r="A15" s="94" t="str">
        <f>CONCATENATE(D15,B15)</f>
        <v>PE120001267</v>
      </c>
      <c r="B15" s="95"/>
      <c r="C15" s="43" t="s">
        <v>425</v>
      </c>
      <c r="D15" s="95" t="str">
        <f>CONCATENATE(F15,G15,H15)</f>
        <v>PE120001267</v>
      </c>
      <c r="E15" s="95" t="s">
        <v>422</v>
      </c>
      <c r="F15" s="95" t="s">
        <v>81</v>
      </c>
      <c r="G15" s="95">
        <v>2000</v>
      </c>
      <c r="H15" s="95">
        <v>1267</v>
      </c>
      <c r="I15" s="95" t="s">
        <v>47</v>
      </c>
      <c r="J15" s="95">
        <v>20998807</v>
      </c>
      <c r="K15" s="95" t="s">
        <v>423</v>
      </c>
      <c r="L15" s="95">
        <v>1</v>
      </c>
      <c r="M15" s="95" t="s">
        <v>49</v>
      </c>
      <c r="N15" s="24" t="s">
        <v>51</v>
      </c>
      <c r="O15" s="95" t="s">
        <v>47</v>
      </c>
      <c r="P15" s="95">
        <v>20998805</v>
      </c>
      <c r="Q15" s="95" t="s">
        <v>346</v>
      </c>
      <c r="R15" s="95">
        <v>1</v>
      </c>
      <c r="S15" s="24" t="s">
        <v>49</v>
      </c>
      <c r="T15" s="24" t="s">
        <v>51</v>
      </c>
      <c r="U15" s="95" t="s">
        <v>82</v>
      </c>
      <c r="V15" s="95">
        <v>11110683</v>
      </c>
      <c r="W15" s="95" t="s">
        <v>342</v>
      </c>
      <c r="X15" s="95">
        <v>1</v>
      </c>
      <c r="Y15" s="24" t="s">
        <v>49</v>
      </c>
      <c r="Z15" s="24" t="s">
        <v>51</v>
      </c>
      <c r="AA15" s="95" t="s">
        <v>47</v>
      </c>
      <c r="AB15" s="95">
        <v>23068344</v>
      </c>
      <c r="AC15" s="95" t="s">
        <v>127</v>
      </c>
      <c r="AD15" s="95">
        <v>19</v>
      </c>
      <c r="AE15" s="95" t="s">
        <v>53</v>
      </c>
      <c r="AF15" s="95"/>
      <c r="AG15" s="95" t="s">
        <v>1</v>
      </c>
      <c r="AH15" s="95">
        <v>2001006</v>
      </c>
      <c r="AI15" s="95" t="s">
        <v>424</v>
      </c>
      <c r="AJ15" s="95">
        <v>1</v>
      </c>
      <c r="AK15" s="25" t="s">
        <v>49</v>
      </c>
      <c r="AL15" s="25" t="s">
        <v>51</v>
      </c>
      <c r="AM15" s="25" t="s">
        <v>47</v>
      </c>
      <c r="AN15" s="34">
        <v>23068343</v>
      </c>
      <c r="AO15" s="25" t="s">
        <v>344</v>
      </c>
      <c r="AP15" s="95">
        <v>1</v>
      </c>
      <c r="AQ15" s="25" t="s">
        <v>65</v>
      </c>
      <c r="AR15" s="95"/>
      <c r="AS15" s="95"/>
      <c r="AT15" s="95"/>
      <c r="AU15" s="95"/>
      <c r="AV15" s="95"/>
      <c r="AW15" s="95"/>
      <c r="AX15" s="95"/>
      <c r="AY15" s="95"/>
      <c r="AZ15" s="95"/>
      <c r="BA15" s="95"/>
      <c r="BB15" s="95"/>
      <c r="BC15" s="95"/>
      <c r="BD15" s="95"/>
      <c r="BE15" s="96"/>
      <c r="BF15" s="96"/>
      <c r="BG15" s="25" t="s">
        <v>273</v>
      </c>
    </row>
    <row r="16" spans="1:59" x14ac:dyDescent="0.25">
      <c r="A16" s="25" t="str">
        <f t="shared" si="0"/>
        <v>PE220001971</v>
      </c>
      <c r="B16" s="35" t="str">
        <f>""</f>
        <v/>
      </c>
      <c r="C16" s="25" t="str">
        <f>""</f>
        <v/>
      </c>
      <c r="D16" s="25" t="str">
        <f>CONCATENATE(F16,G16,H16)</f>
        <v>PE220001971</v>
      </c>
      <c r="E16" s="25" t="s">
        <v>172</v>
      </c>
      <c r="F16" s="25" t="s">
        <v>1</v>
      </c>
      <c r="G16" s="25">
        <v>2000</v>
      </c>
      <c r="H16" s="25">
        <v>1971</v>
      </c>
      <c r="I16" s="25" t="s">
        <v>47</v>
      </c>
      <c r="J16" s="25">
        <v>21707133</v>
      </c>
      <c r="K16" s="25" t="s">
        <v>48</v>
      </c>
      <c r="L16" s="25">
        <v>2</v>
      </c>
      <c r="M16" s="25" t="s">
        <v>49</v>
      </c>
      <c r="N16" s="25" t="s">
        <v>51</v>
      </c>
      <c r="O16" s="25" t="s">
        <v>47</v>
      </c>
      <c r="P16" s="25">
        <v>21707132</v>
      </c>
      <c r="Q16" s="25" t="s">
        <v>50</v>
      </c>
      <c r="R16" s="25">
        <v>1</v>
      </c>
      <c r="S16" s="25" t="s">
        <v>49</v>
      </c>
      <c r="T16" s="25" t="s">
        <v>51</v>
      </c>
      <c r="U16" s="25" t="s">
        <v>47</v>
      </c>
      <c r="V16" s="25">
        <v>22480372</v>
      </c>
      <c r="W16" s="25" t="s">
        <v>52</v>
      </c>
      <c r="X16" s="25">
        <v>1</v>
      </c>
      <c r="Y16" s="25" t="s">
        <v>49</v>
      </c>
      <c r="Z16" s="25" t="s">
        <v>51</v>
      </c>
      <c r="AA16" s="25" t="s">
        <v>47</v>
      </c>
      <c r="AB16" s="25">
        <v>21380488</v>
      </c>
      <c r="AC16" s="25" t="s">
        <v>52</v>
      </c>
      <c r="AD16" s="25">
        <v>1</v>
      </c>
      <c r="AE16" s="25" t="s">
        <v>49</v>
      </c>
      <c r="AF16" s="25" t="s">
        <v>51</v>
      </c>
      <c r="AG16" s="25" t="s">
        <v>1</v>
      </c>
      <c r="AH16" s="25">
        <v>20002050</v>
      </c>
      <c r="AI16" s="25" t="s">
        <v>136</v>
      </c>
      <c r="AJ16" s="25">
        <v>1</v>
      </c>
      <c r="AK16" s="25" t="s">
        <v>49</v>
      </c>
      <c r="AL16" s="25" t="s">
        <v>51</v>
      </c>
      <c r="AM16" s="25" t="str">
        <f>""</f>
        <v/>
      </c>
      <c r="AN16" s="34" t="str">
        <f>""</f>
        <v/>
      </c>
      <c r="AO16" s="25" t="str">
        <f>""</f>
        <v/>
      </c>
      <c r="AP16" s="25" t="str">
        <f>""</f>
        <v/>
      </c>
      <c r="AQ16" s="25" t="str">
        <f>""</f>
        <v/>
      </c>
      <c r="AR16" s="25" t="str">
        <f>""</f>
        <v/>
      </c>
      <c r="AS16" s="25" t="str">
        <f>""</f>
        <v/>
      </c>
      <c r="AT16" s="25" t="str">
        <f>""</f>
        <v/>
      </c>
      <c r="AU16" s="25" t="str">
        <f>""</f>
        <v/>
      </c>
      <c r="AV16" s="25" t="str">
        <f>""</f>
        <v/>
      </c>
      <c r="AW16" s="25" t="str">
        <f>""</f>
        <v/>
      </c>
      <c r="AX16" s="35" t="str">
        <f>""</f>
        <v/>
      </c>
      <c r="AY16" s="35" t="str">
        <f>""</f>
        <v/>
      </c>
      <c r="AZ16" s="35" t="str">
        <f>""</f>
        <v/>
      </c>
      <c r="BA16" s="35" t="str">
        <f>""</f>
        <v/>
      </c>
      <c r="BB16" s="35" t="str">
        <f>""</f>
        <v/>
      </c>
      <c r="BC16" s="35" t="str">
        <f>""</f>
        <v/>
      </c>
      <c r="BD16" s="35" t="str">
        <f>""</f>
        <v/>
      </c>
      <c r="BE16" s="36"/>
      <c r="BF16" s="36"/>
      <c r="BG16" s="25" t="s">
        <v>270</v>
      </c>
    </row>
    <row r="17" spans="1:59" x14ac:dyDescent="0.25">
      <c r="A17" s="25" t="str">
        <f t="shared" si="0"/>
        <v>PE220001973</v>
      </c>
      <c r="B17" s="35" t="str">
        <f>""</f>
        <v/>
      </c>
      <c r="C17" s="25" t="str">
        <f>""</f>
        <v/>
      </c>
      <c r="D17" s="25" t="s">
        <v>268</v>
      </c>
      <c r="E17" s="25" t="s">
        <v>175</v>
      </c>
      <c r="F17" s="25" t="s">
        <v>1</v>
      </c>
      <c r="G17" s="25">
        <v>2000</v>
      </c>
      <c r="H17" s="25">
        <v>1973</v>
      </c>
      <c r="I17" s="25" t="s">
        <v>47</v>
      </c>
      <c r="J17" s="25">
        <v>21707133</v>
      </c>
      <c r="K17" s="25" t="s">
        <v>48</v>
      </c>
      <c r="L17" s="25">
        <v>2</v>
      </c>
      <c r="M17" s="25" t="s">
        <v>49</v>
      </c>
      <c r="N17" s="25" t="s">
        <v>51</v>
      </c>
      <c r="O17" s="25" t="s">
        <v>47</v>
      </c>
      <c r="P17" s="25">
        <v>21707132</v>
      </c>
      <c r="Q17" s="25" t="s">
        <v>50</v>
      </c>
      <c r="R17" s="25">
        <v>1</v>
      </c>
      <c r="S17" s="25" t="s">
        <v>49</v>
      </c>
      <c r="T17" s="25" t="s">
        <v>51</v>
      </c>
      <c r="U17" s="25" t="s">
        <v>47</v>
      </c>
      <c r="V17" s="25">
        <v>22480372</v>
      </c>
      <c r="W17" s="25" t="s">
        <v>52</v>
      </c>
      <c r="X17" s="25">
        <v>1</v>
      </c>
      <c r="Y17" s="25" t="s">
        <v>49</v>
      </c>
      <c r="Z17" s="25" t="s">
        <v>51</v>
      </c>
      <c r="AA17" s="25" t="s">
        <v>47</v>
      </c>
      <c r="AB17" s="25">
        <v>21380475</v>
      </c>
      <c r="AC17" s="25" t="s">
        <v>52</v>
      </c>
      <c r="AD17" s="25">
        <v>1</v>
      </c>
      <c r="AE17" s="25" t="s">
        <v>49</v>
      </c>
      <c r="AF17" s="25" t="s">
        <v>51</v>
      </c>
      <c r="AG17" s="25" t="s">
        <v>1</v>
      </c>
      <c r="AH17" s="25">
        <v>20002050</v>
      </c>
      <c r="AI17" s="25" t="s">
        <v>136</v>
      </c>
      <c r="AJ17" s="25">
        <v>1</v>
      </c>
      <c r="AK17" s="25" t="s">
        <v>49</v>
      </c>
      <c r="AL17" s="25" t="s">
        <v>51</v>
      </c>
      <c r="AM17" s="25" t="str">
        <f>""</f>
        <v/>
      </c>
      <c r="AN17" s="34" t="str">
        <f>""</f>
        <v/>
      </c>
      <c r="AO17" s="25" t="str">
        <f>""</f>
        <v/>
      </c>
      <c r="AP17" s="25" t="str">
        <f>""</f>
        <v/>
      </c>
      <c r="AQ17" s="25" t="str">
        <f>""</f>
        <v/>
      </c>
      <c r="AR17" s="25" t="str">
        <f>""</f>
        <v/>
      </c>
      <c r="AS17" s="25" t="str">
        <f>""</f>
        <v/>
      </c>
      <c r="AT17" s="25" t="str">
        <f>""</f>
        <v/>
      </c>
      <c r="AU17" s="25" t="str">
        <f>""</f>
        <v/>
      </c>
      <c r="AV17" s="25" t="str">
        <f>""</f>
        <v/>
      </c>
      <c r="AW17" s="25" t="str">
        <f>""</f>
        <v/>
      </c>
      <c r="AX17" s="35" t="str">
        <f>""</f>
        <v/>
      </c>
      <c r="AY17" s="35" t="str">
        <f>""</f>
        <v/>
      </c>
      <c r="AZ17" s="35" t="str">
        <f>""</f>
        <v/>
      </c>
      <c r="BA17" s="35" t="str">
        <f>""</f>
        <v/>
      </c>
      <c r="BB17" s="35" t="str">
        <f>""</f>
        <v/>
      </c>
      <c r="BC17" s="35" t="str">
        <f>""</f>
        <v/>
      </c>
      <c r="BD17" s="35" t="str">
        <f>""</f>
        <v/>
      </c>
      <c r="BE17" s="36"/>
      <c r="BF17" s="36"/>
      <c r="BG17" s="25" t="s">
        <v>270</v>
      </c>
    </row>
    <row r="18" spans="1:59" x14ac:dyDescent="0.25">
      <c r="A18" s="25" t="str">
        <f t="shared" si="0"/>
        <v>PE220001974</v>
      </c>
      <c r="B18" s="35" t="str">
        <f>""</f>
        <v/>
      </c>
      <c r="C18" s="25" t="str">
        <f>""</f>
        <v/>
      </c>
      <c r="D18" s="25" t="str">
        <f t="shared" ref="D18:D24" si="2">CONCATENATE(F18,G18,H18)</f>
        <v>PE220001974</v>
      </c>
      <c r="E18" s="25" t="s">
        <v>340</v>
      </c>
      <c r="F18" s="25" t="s">
        <v>1</v>
      </c>
      <c r="G18" s="25">
        <v>2000</v>
      </c>
      <c r="H18" s="25">
        <v>1974</v>
      </c>
      <c r="I18" s="25" t="s">
        <v>47</v>
      </c>
      <c r="J18" s="25">
        <v>21707133</v>
      </c>
      <c r="K18" s="25" t="s">
        <v>48</v>
      </c>
      <c r="L18" s="25">
        <v>2</v>
      </c>
      <c r="M18" s="25" t="s">
        <v>49</v>
      </c>
      <c r="N18" s="25" t="s">
        <v>51</v>
      </c>
      <c r="O18" s="25" t="s">
        <v>47</v>
      </c>
      <c r="P18" s="25">
        <v>21707132</v>
      </c>
      <c r="Q18" s="25" t="s">
        <v>50</v>
      </c>
      <c r="R18" s="25">
        <v>1</v>
      </c>
      <c r="S18" s="25" t="s">
        <v>49</v>
      </c>
      <c r="T18" s="25" t="s">
        <v>51</v>
      </c>
      <c r="U18" s="25" t="s">
        <v>47</v>
      </c>
      <c r="V18" s="25">
        <v>21632237</v>
      </c>
      <c r="W18" s="25" t="s">
        <v>63</v>
      </c>
      <c r="X18" s="25">
        <v>1</v>
      </c>
      <c r="Y18" s="25" t="s">
        <v>49</v>
      </c>
      <c r="Z18" s="25" t="s">
        <v>51</v>
      </c>
      <c r="AA18" s="25" t="s">
        <v>47</v>
      </c>
      <c r="AB18" s="25">
        <v>21380475</v>
      </c>
      <c r="AC18" s="25" t="s">
        <v>63</v>
      </c>
      <c r="AD18" s="25">
        <v>1</v>
      </c>
      <c r="AE18" s="25" t="s">
        <v>49</v>
      </c>
      <c r="AF18" s="25" t="s">
        <v>51</v>
      </c>
      <c r="AG18" s="25" t="s">
        <v>1</v>
      </c>
      <c r="AH18" s="25">
        <v>20002050</v>
      </c>
      <c r="AI18" s="25" t="s">
        <v>136</v>
      </c>
      <c r="AJ18" s="25">
        <v>1</v>
      </c>
      <c r="AK18" s="25" t="s">
        <v>49</v>
      </c>
      <c r="AL18" s="25" t="s">
        <v>51</v>
      </c>
      <c r="AM18" s="25" t="str">
        <f>""</f>
        <v/>
      </c>
      <c r="AN18" s="34" t="str">
        <f>""</f>
        <v/>
      </c>
      <c r="AO18" s="25" t="str">
        <f>""</f>
        <v/>
      </c>
      <c r="AP18" s="25" t="str">
        <f>""</f>
        <v/>
      </c>
      <c r="AQ18" s="25" t="str">
        <f>""</f>
        <v/>
      </c>
      <c r="AR18" s="25" t="str">
        <f>""</f>
        <v/>
      </c>
      <c r="AS18" s="25" t="str">
        <f>""</f>
        <v/>
      </c>
      <c r="AT18" s="25" t="str">
        <f>""</f>
        <v/>
      </c>
      <c r="AU18" s="25" t="str">
        <f>""</f>
        <v/>
      </c>
      <c r="AV18" s="25" t="str">
        <f>""</f>
        <v/>
      </c>
      <c r="AW18" s="25" t="str">
        <f>""</f>
        <v/>
      </c>
      <c r="AX18" s="35" t="str">
        <f>""</f>
        <v/>
      </c>
      <c r="AY18" s="35" t="str">
        <f>""</f>
        <v/>
      </c>
      <c r="AZ18" s="35" t="str">
        <f>""</f>
        <v/>
      </c>
      <c r="BA18" s="35" t="str">
        <f>""</f>
        <v/>
      </c>
      <c r="BB18" s="35" t="str">
        <f>""</f>
        <v/>
      </c>
      <c r="BC18" s="35" t="str">
        <f>""</f>
        <v/>
      </c>
      <c r="BD18" s="35" t="str">
        <f>""</f>
        <v/>
      </c>
      <c r="BE18" s="36"/>
      <c r="BF18" s="36"/>
      <c r="BG18" s="25" t="s">
        <v>270</v>
      </c>
    </row>
    <row r="19" spans="1:59" x14ac:dyDescent="0.25">
      <c r="A19" s="25" t="str">
        <f t="shared" si="0"/>
        <v>PE220001975</v>
      </c>
      <c r="B19" s="35" t="str">
        <f>""</f>
        <v/>
      </c>
      <c r="C19" s="25" t="str">
        <f>""</f>
        <v/>
      </c>
      <c r="D19" s="25" t="str">
        <f t="shared" si="2"/>
        <v>PE220001975</v>
      </c>
      <c r="E19" s="25" t="s">
        <v>178</v>
      </c>
      <c r="F19" s="25" t="s">
        <v>1</v>
      </c>
      <c r="G19" s="25">
        <v>2000</v>
      </c>
      <c r="H19" s="25">
        <v>1975</v>
      </c>
      <c r="I19" s="25" t="s">
        <v>47</v>
      </c>
      <c r="J19" s="25">
        <v>21707134</v>
      </c>
      <c r="K19" s="25" t="s">
        <v>60</v>
      </c>
      <c r="L19" s="25">
        <v>1</v>
      </c>
      <c r="M19" s="25" t="s">
        <v>49</v>
      </c>
      <c r="N19" s="25" t="s">
        <v>51</v>
      </c>
      <c r="O19" s="25" t="s">
        <v>47</v>
      </c>
      <c r="P19" s="25">
        <v>20841523</v>
      </c>
      <c r="Q19" s="25" t="s">
        <v>52</v>
      </c>
      <c r="R19" s="25">
        <v>1</v>
      </c>
      <c r="S19" s="25" t="s">
        <v>49</v>
      </c>
      <c r="T19" s="25" t="s">
        <v>51</v>
      </c>
      <c r="U19" s="25" t="s">
        <v>47</v>
      </c>
      <c r="V19" s="25">
        <v>8159975</v>
      </c>
      <c r="W19" s="25" t="s">
        <v>343</v>
      </c>
      <c r="X19" s="25">
        <v>1</v>
      </c>
      <c r="Y19" s="25" t="s">
        <v>49</v>
      </c>
      <c r="Z19" s="25" t="s">
        <v>51</v>
      </c>
      <c r="AA19" s="25" t="s">
        <v>1</v>
      </c>
      <c r="AB19" s="25">
        <v>20002050</v>
      </c>
      <c r="AC19" s="25" t="s">
        <v>136</v>
      </c>
      <c r="AD19" s="25">
        <v>1</v>
      </c>
      <c r="AE19" s="25" t="s">
        <v>49</v>
      </c>
      <c r="AF19" s="25" t="s">
        <v>51</v>
      </c>
      <c r="AG19" s="45" t="s">
        <v>66</v>
      </c>
      <c r="AH19" s="45" t="s">
        <v>66</v>
      </c>
      <c r="AI19" s="45" t="s">
        <v>66</v>
      </c>
      <c r="AJ19" s="45" t="s">
        <v>66</v>
      </c>
      <c r="AK19" s="45" t="s">
        <v>66</v>
      </c>
      <c r="AL19" s="45" t="s">
        <v>66</v>
      </c>
      <c r="AM19" s="25" t="str">
        <f>""</f>
        <v/>
      </c>
      <c r="AN19" s="34" t="str">
        <f>""</f>
        <v/>
      </c>
      <c r="AO19" s="25" t="str">
        <f>""</f>
        <v/>
      </c>
      <c r="AP19" s="25" t="str">
        <f>""</f>
        <v/>
      </c>
      <c r="AQ19" s="25" t="str">
        <f>""</f>
        <v/>
      </c>
      <c r="AR19" s="25" t="str">
        <f>""</f>
        <v/>
      </c>
      <c r="AS19" s="25" t="str">
        <f>""</f>
        <v/>
      </c>
      <c r="AT19" s="25" t="str">
        <f>""</f>
        <v/>
      </c>
      <c r="AU19" s="25" t="str">
        <f>""</f>
        <v/>
      </c>
      <c r="AV19" s="25" t="str">
        <f>""</f>
        <v/>
      </c>
      <c r="AW19" s="25" t="str">
        <f>""</f>
        <v/>
      </c>
      <c r="AX19" s="35" t="str">
        <f>""</f>
        <v/>
      </c>
      <c r="AY19" s="35" t="str">
        <f>""</f>
        <v/>
      </c>
      <c r="AZ19" s="35" t="str">
        <f>""</f>
        <v/>
      </c>
      <c r="BA19" s="35" t="str">
        <f>""</f>
        <v/>
      </c>
      <c r="BB19" s="35" t="str">
        <f>""</f>
        <v/>
      </c>
      <c r="BC19" s="35" t="str">
        <f>""</f>
        <v/>
      </c>
      <c r="BD19" s="35" t="str">
        <f>""</f>
        <v/>
      </c>
      <c r="BE19" s="36"/>
      <c r="BF19" s="36"/>
      <c r="BG19" s="25" t="s">
        <v>270</v>
      </c>
    </row>
    <row r="20" spans="1:59" x14ac:dyDescent="0.25">
      <c r="A20" s="25" t="str">
        <f t="shared" si="0"/>
        <v>PE220001976</v>
      </c>
      <c r="B20" s="35" t="str">
        <f>""</f>
        <v/>
      </c>
      <c r="C20" s="25" t="str">
        <f>""</f>
        <v/>
      </c>
      <c r="D20" s="25" t="str">
        <f t="shared" si="2"/>
        <v>PE220001976</v>
      </c>
      <c r="E20" s="25" t="s">
        <v>180</v>
      </c>
      <c r="F20" s="25" t="s">
        <v>1</v>
      </c>
      <c r="G20" s="25">
        <v>2000</v>
      </c>
      <c r="H20" s="25">
        <v>1976</v>
      </c>
      <c r="I20" s="25" t="s">
        <v>47</v>
      </c>
      <c r="J20" s="25">
        <v>21707133</v>
      </c>
      <c r="K20" s="25" t="s">
        <v>48</v>
      </c>
      <c r="L20" s="25">
        <v>2</v>
      </c>
      <c r="M20" s="25" t="s">
        <v>49</v>
      </c>
      <c r="N20" s="25" t="s">
        <v>51</v>
      </c>
      <c r="O20" s="25" t="s">
        <v>47</v>
      </c>
      <c r="P20" s="25">
        <v>21707132</v>
      </c>
      <c r="Q20" s="25" t="s">
        <v>50</v>
      </c>
      <c r="R20" s="25">
        <v>1</v>
      </c>
      <c r="S20" s="25" t="s">
        <v>49</v>
      </c>
      <c r="T20" s="25" t="s">
        <v>51</v>
      </c>
      <c r="U20" s="25" t="s">
        <v>47</v>
      </c>
      <c r="V20" s="25">
        <v>22480372</v>
      </c>
      <c r="W20" s="25" t="s">
        <v>52</v>
      </c>
      <c r="X20" s="25">
        <v>1</v>
      </c>
      <c r="Y20" s="25" t="s">
        <v>49</v>
      </c>
      <c r="Z20" s="25" t="s">
        <v>51</v>
      </c>
      <c r="AA20" s="25" t="s">
        <v>47</v>
      </c>
      <c r="AB20" s="25">
        <v>20998367</v>
      </c>
      <c r="AC20" s="25" t="s">
        <v>58</v>
      </c>
      <c r="AD20" s="25">
        <v>1</v>
      </c>
      <c r="AE20" s="25" t="s">
        <v>49</v>
      </c>
      <c r="AF20" s="25" t="s">
        <v>51</v>
      </c>
      <c r="AG20" s="25" t="s">
        <v>1</v>
      </c>
      <c r="AH20" s="25">
        <v>20002050</v>
      </c>
      <c r="AI20" s="25" t="s">
        <v>136</v>
      </c>
      <c r="AJ20" s="25">
        <v>1</v>
      </c>
      <c r="AK20" s="25" t="s">
        <v>49</v>
      </c>
      <c r="AL20" s="25" t="s">
        <v>51</v>
      </c>
      <c r="AM20" s="25" t="str">
        <f>""</f>
        <v/>
      </c>
      <c r="AN20" s="34" t="str">
        <f>""</f>
        <v/>
      </c>
      <c r="AO20" s="25" t="str">
        <f>""</f>
        <v/>
      </c>
      <c r="AP20" s="25" t="str">
        <f>""</f>
        <v/>
      </c>
      <c r="AQ20" s="25" t="str">
        <f>""</f>
        <v/>
      </c>
      <c r="AR20" s="25" t="str">
        <f>""</f>
        <v/>
      </c>
      <c r="AS20" s="25" t="str">
        <f>""</f>
        <v/>
      </c>
      <c r="AT20" s="25" t="str">
        <f>""</f>
        <v/>
      </c>
      <c r="AU20" s="25" t="str">
        <f>""</f>
        <v/>
      </c>
      <c r="AV20" s="25" t="str">
        <f>""</f>
        <v/>
      </c>
      <c r="AW20" s="25" t="str">
        <f>""</f>
        <v/>
      </c>
      <c r="AX20" s="35" t="str">
        <f>""</f>
        <v/>
      </c>
      <c r="AY20" s="35" t="str">
        <f>""</f>
        <v/>
      </c>
      <c r="AZ20" s="35" t="str">
        <f>""</f>
        <v/>
      </c>
      <c r="BA20" s="35" t="str">
        <f>""</f>
        <v/>
      </c>
      <c r="BB20" s="35" t="str">
        <f>""</f>
        <v/>
      </c>
      <c r="BC20" s="35" t="str">
        <f>""</f>
        <v/>
      </c>
      <c r="BD20" s="35" t="str">
        <f>""</f>
        <v/>
      </c>
      <c r="BE20" s="36"/>
      <c r="BF20" s="36"/>
      <c r="BG20" s="25" t="s">
        <v>270</v>
      </c>
    </row>
    <row r="21" spans="1:59" x14ac:dyDescent="0.25">
      <c r="A21" s="25" t="str">
        <f t="shared" si="0"/>
        <v>PE220002044</v>
      </c>
      <c r="B21" s="35" t="str">
        <f>""</f>
        <v/>
      </c>
      <c r="C21" s="25" t="str">
        <f>""</f>
        <v/>
      </c>
      <c r="D21" s="25" t="str">
        <f t="shared" si="2"/>
        <v>PE220002044</v>
      </c>
      <c r="E21" s="25" t="s">
        <v>185</v>
      </c>
      <c r="F21" s="25" t="s">
        <v>1</v>
      </c>
      <c r="G21" s="25">
        <v>2000</v>
      </c>
      <c r="H21" s="25">
        <v>2044</v>
      </c>
      <c r="I21" s="25" t="s">
        <v>47</v>
      </c>
      <c r="J21" s="25">
        <v>20998807</v>
      </c>
      <c r="K21" s="25" t="s">
        <v>345</v>
      </c>
      <c r="L21" s="25">
        <v>1</v>
      </c>
      <c r="M21" s="25" t="s">
        <v>49</v>
      </c>
      <c r="N21" s="25" t="s">
        <v>51</v>
      </c>
      <c r="O21" s="25" t="s">
        <v>47</v>
      </c>
      <c r="P21" s="25">
        <v>20998805</v>
      </c>
      <c r="Q21" s="25" t="s">
        <v>346</v>
      </c>
      <c r="R21" s="25">
        <v>1</v>
      </c>
      <c r="S21" s="25" t="s">
        <v>49</v>
      </c>
      <c r="T21" s="25" t="s">
        <v>51</v>
      </c>
      <c r="U21" s="25" t="s">
        <v>47</v>
      </c>
      <c r="V21" s="25">
        <v>21380408</v>
      </c>
      <c r="W21" s="25" t="s">
        <v>52</v>
      </c>
      <c r="X21" s="25">
        <v>1</v>
      </c>
      <c r="Y21" s="25" t="s">
        <v>49</v>
      </c>
      <c r="Z21" s="25" t="s">
        <v>51</v>
      </c>
      <c r="AA21" s="25" t="s">
        <v>1</v>
      </c>
      <c r="AB21" s="25">
        <v>20002050</v>
      </c>
      <c r="AC21" s="25" t="s">
        <v>136</v>
      </c>
      <c r="AD21" s="25">
        <v>1</v>
      </c>
      <c r="AE21" s="25" t="s">
        <v>49</v>
      </c>
      <c r="AF21" s="25" t="s">
        <v>51</v>
      </c>
      <c r="AG21" s="25" t="str">
        <f>""</f>
        <v/>
      </c>
      <c r="AH21" s="25" t="str">
        <f>""</f>
        <v/>
      </c>
      <c r="AI21" s="25" t="str">
        <f>""</f>
        <v/>
      </c>
      <c r="AJ21" s="25" t="str">
        <f>""</f>
        <v/>
      </c>
      <c r="AK21" s="25" t="str">
        <f>""</f>
        <v/>
      </c>
      <c r="AL21" s="25" t="str">
        <f>""</f>
        <v/>
      </c>
      <c r="AM21" s="25" t="str">
        <f>""</f>
        <v/>
      </c>
      <c r="AN21" s="34" t="str">
        <f>""</f>
        <v/>
      </c>
      <c r="AO21" s="25" t="str">
        <f>""</f>
        <v/>
      </c>
      <c r="AP21" s="25" t="str">
        <f>""</f>
        <v/>
      </c>
      <c r="AQ21" s="25" t="str">
        <f>""</f>
        <v/>
      </c>
      <c r="AR21" s="25" t="str">
        <f>""</f>
        <v/>
      </c>
      <c r="AS21" s="25" t="str">
        <f>""</f>
        <v/>
      </c>
      <c r="AT21" s="25" t="str">
        <f>""</f>
        <v/>
      </c>
      <c r="AU21" s="25" t="str">
        <f>""</f>
        <v/>
      </c>
      <c r="AV21" s="25" t="str">
        <f>""</f>
        <v/>
      </c>
      <c r="AW21" s="25" t="str">
        <f>""</f>
        <v/>
      </c>
      <c r="AX21" s="35" t="str">
        <f>""</f>
        <v/>
      </c>
      <c r="AY21" s="35" t="str">
        <f>""</f>
        <v/>
      </c>
      <c r="AZ21" s="35" t="str">
        <f>""</f>
        <v/>
      </c>
      <c r="BA21" s="35" t="str">
        <f>""</f>
        <v/>
      </c>
      <c r="BB21" s="35" t="str">
        <f>""</f>
        <v/>
      </c>
      <c r="BC21" s="35" t="str">
        <f>""</f>
        <v/>
      </c>
      <c r="BD21" s="35" t="str">
        <f>""</f>
        <v/>
      </c>
      <c r="BE21" s="36"/>
      <c r="BF21" s="36"/>
      <c r="BG21" s="25" t="s">
        <v>270</v>
      </c>
    </row>
    <row r="22" spans="1:59" x14ac:dyDescent="0.25">
      <c r="A22" s="25" t="str">
        <f t="shared" si="0"/>
        <v>PE220002047</v>
      </c>
      <c r="B22" s="35" t="str">
        <f>""</f>
        <v/>
      </c>
      <c r="C22" s="25" t="str">
        <f>""</f>
        <v/>
      </c>
      <c r="D22" s="25" t="str">
        <f t="shared" si="2"/>
        <v>PE220002047</v>
      </c>
      <c r="E22" s="25" t="s">
        <v>180</v>
      </c>
      <c r="F22" s="25" t="s">
        <v>1</v>
      </c>
      <c r="G22" s="25">
        <v>2000</v>
      </c>
      <c r="H22" s="25">
        <v>2047</v>
      </c>
      <c r="I22" s="25" t="s">
        <v>47</v>
      </c>
      <c r="J22" s="25">
        <v>21707133</v>
      </c>
      <c r="K22" s="25" t="s">
        <v>48</v>
      </c>
      <c r="L22" s="25">
        <v>2</v>
      </c>
      <c r="M22" s="25" t="s">
        <v>49</v>
      </c>
      <c r="N22" s="25" t="s">
        <v>51</v>
      </c>
      <c r="O22" s="25" t="s">
        <v>47</v>
      </c>
      <c r="P22" s="25">
        <v>21707132</v>
      </c>
      <c r="Q22" s="25" t="s">
        <v>50</v>
      </c>
      <c r="R22" s="25">
        <v>1</v>
      </c>
      <c r="S22" s="25" t="s">
        <v>49</v>
      </c>
      <c r="T22" s="25" t="s">
        <v>51</v>
      </c>
      <c r="U22" s="25" t="s">
        <v>47</v>
      </c>
      <c r="V22" s="25">
        <v>8193841</v>
      </c>
      <c r="W22" s="25" t="s">
        <v>52</v>
      </c>
      <c r="X22" s="25">
        <v>1</v>
      </c>
      <c r="Y22" s="25" t="s">
        <v>49</v>
      </c>
      <c r="Z22" s="25" t="s">
        <v>51</v>
      </c>
      <c r="AA22" s="25" t="s">
        <v>1</v>
      </c>
      <c r="AB22" s="25">
        <v>20002050</v>
      </c>
      <c r="AC22" s="25" t="s">
        <v>136</v>
      </c>
      <c r="AD22" s="25">
        <v>1</v>
      </c>
      <c r="AE22" s="25" t="s">
        <v>49</v>
      </c>
      <c r="AF22" s="25" t="s">
        <v>51</v>
      </c>
      <c r="AG22" s="25" t="str">
        <f>""</f>
        <v/>
      </c>
      <c r="AH22" s="25" t="str">
        <f>""</f>
        <v/>
      </c>
      <c r="AI22" s="25" t="str">
        <f>""</f>
        <v/>
      </c>
      <c r="AJ22" s="25" t="str">
        <f>""</f>
        <v/>
      </c>
      <c r="AK22" s="25" t="str">
        <f>""</f>
        <v/>
      </c>
      <c r="AL22" s="25" t="str">
        <f>""</f>
        <v/>
      </c>
      <c r="AM22" s="25" t="str">
        <f>""</f>
        <v/>
      </c>
      <c r="AN22" s="34" t="str">
        <f>""</f>
        <v/>
      </c>
      <c r="AO22" s="25" t="str">
        <f>""</f>
        <v/>
      </c>
      <c r="AP22" s="25" t="str">
        <f>""</f>
        <v/>
      </c>
      <c r="AQ22" s="25" t="str">
        <f>""</f>
        <v/>
      </c>
      <c r="AR22" s="25" t="str">
        <f>""</f>
        <v/>
      </c>
      <c r="AS22" s="25" t="str">
        <f>""</f>
        <v/>
      </c>
      <c r="AT22" s="25" t="str">
        <f>""</f>
        <v/>
      </c>
      <c r="AU22" s="25" t="str">
        <f>""</f>
        <v/>
      </c>
      <c r="AV22" s="25" t="str">
        <f>""</f>
        <v/>
      </c>
      <c r="AW22" s="25" t="str">
        <f>""</f>
        <v/>
      </c>
      <c r="AX22" s="35" t="str">
        <f>""</f>
        <v/>
      </c>
      <c r="AY22" s="35" t="str">
        <f>""</f>
        <v/>
      </c>
      <c r="AZ22" s="35" t="str">
        <f>""</f>
        <v/>
      </c>
      <c r="BA22" s="35" t="str">
        <f>""</f>
        <v/>
      </c>
      <c r="BB22" s="35" t="str">
        <f>""</f>
        <v/>
      </c>
      <c r="BC22" s="35" t="str">
        <f>""</f>
        <v/>
      </c>
      <c r="BD22" s="35" t="str">
        <f>""</f>
        <v/>
      </c>
      <c r="BE22" s="36"/>
      <c r="BF22" s="36"/>
      <c r="BG22" s="25" t="s">
        <v>270</v>
      </c>
    </row>
    <row r="23" spans="1:59" x14ac:dyDescent="0.25">
      <c r="A23" s="25" t="str">
        <f t="shared" si="0"/>
        <v>PE220002049</v>
      </c>
      <c r="B23" s="35" t="str">
        <f>""</f>
        <v/>
      </c>
      <c r="C23" s="25" t="str">
        <f>""</f>
        <v/>
      </c>
      <c r="D23" s="25" t="str">
        <f t="shared" si="2"/>
        <v>PE220002049</v>
      </c>
      <c r="E23" s="25" t="s">
        <v>192</v>
      </c>
      <c r="F23" s="25" t="s">
        <v>1</v>
      </c>
      <c r="G23" s="25">
        <v>2000</v>
      </c>
      <c r="H23" s="25">
        <v>2049</v>
      </c>
      <c r="I23" s="25" t="s">
        <v>47</v>
      </c>
      <c r="J23" s="25">
        <v>21707133</v>
      </c>
      <c r="K23" s="25" t="s">
        <v>48</v>
      </c>
      <c r="L23" s="25">
        <v>1</v>
      </c>
      <c r="M23" s="45" t="s">
        <v>49</v>
      </c>
      <c r="N23" s="25" t="s">
        <v>51</v>
      </c>
      <c r="O23" s="25" t="s">
        <v>47</v>
      </c>
      <c r="P23" s="25">
        <v>22095097</v>
      </c>
      <c r="Q23" s="25" t="s">
        <v>63</v>
      </c>
      <c r="R23" s="25">
        <v>1</v>
      </c>
      <c r="S23" s="25" t="s">
        <v>49</v>
      </c>
      <c r="T23" s="25" t="s">
        <v>51</v>
      </c>
      <c r="U23" s="25" t="s">
        <v>47</v>
      </c>
      <c r="V23" s="25">
        <v>8159975</v>
      </c>
      <c r="W23" s="25" t="s">
        <v>343</v>
      </c>
      <c r="X23" s="25">
        <v>1</v>
      </c>
      <c r="Y23" s="45" t="s">
        <v>49</v>
      </c>
      <c r="Z23" s="25" t="s">
        <v>51</v>
      </c>
      <c r="AA23" s="25" t="s">
        <v>1</v>
      </c>
      <c r="AB23" s="25">
        <v>20002050</v>
      </c>
      <c r="AC23" s="25" t="s">
        <v>136</v>
      </c>
      <c r="AD23" s="25">
        <v>1</v>
      </c>
      <c r="AE23" s="25" t="s">
        <v>49</v>
      </c>
      <c r="AF23" s="25" t="s">
        <v>51</v>
      </c>
      <c r="AG23" s="25" t="str">
        <f>""</f>
        <v/>
      </c>
      <c r="AH23" s="25" t="str">
        <f>""</f>
        <v/>
      </c>
      <c r="AI23" s="25" t="str">
        <f>""</f>
        <v/>
      </c>
      <c r="AJ23" s="25" t="str">
        <f>""</f>
        <v/>
      </c>
      <c r="AK23" s="25" t="str">
        <f>""</f>
        <v/>
      </c>
      <c r="AL23" s="25" t="str">
        <f>""</f>
        <v/>
      </c>
      <c r="AM23" s="25" t="str">
        <f>""</f>
        <v/>
      </c>
      <c r="AN23" s="34" t="str">
        <f>""</f>
        <v/>
      </c>
      <c r="AO23" s="25" t="str">
        <f>""</f>
        <v/>
      </c>
      <c r="AP23" s="25" t="str">
        <f>""</f>
        <v/>
      </c>
      <c r="AQ23" s="25" t="str">
        <f>""</f>
        <v/>
      </c>
      <c r="AR23" s="25" t="str">
        <f>""</f>
        <v/>
      </c>
      <c r="AS23" s="25" t="str">
        <f>""</f>
        <v/>
      </c>
      <c r="AT23" s="25" t="str">
        <f>""</f>
        <v/>
      </c>
      <c r="AU23" s="25" t="str">
        <f>""</f>
        <v/>
      </c>
      <c r="AV23" s="25" t="str">
        <f>""</f>
        <v/>
      </c>
      <c r="AW23" s="25" t="str">
        <f>""</f>
        <v/>
      </c>
      <c r="AX23" s="35" t="str">
        <f>""</f>
        <v/>
      </c>
      <c r="AY23" s="35" t="str">
        <f>""</f>
        <v/>
      </c>
      <c r="AZ23" s="35" t="str">
        <f>""</f>
        <v/>
      </c>
      <c r="BA23" s="35" t="str">
        <f>""</f>
        <v/>
      </c>
      <c r="BB23" s="35" t="str">
        <f>""</f>
        <v/>
      </c>
      <c r="BC23" s="35" t="str">
        <f>""</f>
        <v/>
      </c>
      <c r="BD23" s="35" t="str">
        <f>""</f>
        <v/>
      </c>
      <c r="BE23" s="36"/>
      <c r="BF23" s="36"/>
      <c r="BG23" s="25" t="s">
        <v>270</v>
      </c>
    </row>
    <row r="24" spans="1:59" x14ac:dyDescent="0.25">
      <c r="A24" s="25" t="str">
        <f t="shared" si="0"/>
        <v>PE220002046</v>
      </c>
      <c r="B24" s="35" t="str">
        <f>""</f>
        <v/>
      </c>
      <c r="C24" s="25" t="str">
        <f>""</f>
        <v/>
      </c>
      <c r="D24" s="25" t="str">
        <f t="shared" si="2"/>
        <v>PE220002046</v>
      </c>
      <c r="E24" s="25" t="s">
        <v>187</v>
      </c>
      <c r="F24" s="25" t="s">
        <v>1</v>
      </c>
      <c r="G24" s="25">
        <v>2000</v>
      </c>
      <c r="H24" s="25">
        <v>2046</v>
      </c>
      <c r="I24" s="25" t="s">
        <v>47</v>
      </c>
      <c r="J24" s="25">
        <v>21707133</v>
      </c>
      <c r="K24" s="25" t="s">
        <v>48</v>
      </c>
      <c r="L24" s="25">
        <v>1</v>
      </c>
      <c r="M24" s="45" t="s">
        <v>49</v>
      </c>
      <c r="N24" s="25" t="s">
        <v>51</v>
      </c>
      <c r="O24" s="25" t="s">
        <v>47</v>
      </c>
      <c r="P24" s="25">
        <v>22095097</v>
      </c>
      <c r="Q24" s="25" t="s">
        <v>52</v>
      </c>
      <c r="R24" s="25">
        <v>1</v>
      </c>
      <c r="S24" s="25" t="s">
        <v>49</v>
      </c>
      <c r="T24" s="25" t="s">
        <v>51</v>
      </c>
      <c r="U24" s="25" t="s">
        <v>47</v>
      </c>
      <c r="V24" s="25">
        <v>22752360</v>
      </c>
      <c r="W24" s="25" t="s">
        <v>347</v>
      </c>
      <c r="X24" s="25">
        <v>1</v>
      </c>
      <c r="Y24" s="45" t="s">
        <v>49</v>
      </c>
      <c r="Z24" s="25" t="s">
        <v>51</v>
      </c>
      <c r="AA24" s="25" t="s">
        <v>1</v>
      </c>
      <c r="AB24" s="25">
        <v>20002050</v>
      </c>
      <c r="AC24" s="25" t="s">
        <v>136</v>
      </c>
      <c r="AD24" s="25">
        <v>1</v>
      </c>
      <c r="AE24" s="25" t="s">
        <v>49</v>
      </c>
      <c r="AF24" s="25" t="s">
        <v>51</v>
      </c>
      <c r="AG24" s="25" t="str">
        <f>""</f>
        <v/>
      </c>
      <c r="AH24" s="25" t="str">
        <f>""</f>
        <v/>
      </c>
      <c r="AI24" s="25" t="str">
        <f>""</f>
        <v/>
      </c>
      <c r="AJ24" s="25" t="str">
        <f>""</f>
        <v/>
      </c>
      <c r="AK24" s="25" t="str">
        <f>""</f>
        <v/>
      </c>
      <c r="AL24" s="25" t="str">
        <f>""</f>
        <v/>
      </c>
      <c r="AM24" s="25" t="str">
        <f>""</f>
        <v/>
      </c>
      <c r="AN24" s="34" t="str">
        <f>""</f>
        <v/>
      </c>
      <c r="AO24" s="25" t="str">
        <f>""</f>
        <v/>
      </c>
      <c r="AP24" s="25" t="str">
        <f>""</f>
        <v/>
      </c>
      <c r="AQ24" s="25" t="str">
        <f>""</f>
        <v/>
      </c>
      <c r="AR24" s="25" t="str">
        <f>""</f>
        <v/>
      </c>
      <c r="AS24" s="25" t="str">
        <f>""</f>
        <v/>
      </c>
      <c r="AT24" s="25" t="str">
        <f>""</f>
        <v/>
      </c>
      <c r="AU24" s="25" t="str">
        <f>""</f>
        <v/>
      </c>
      <c r="AV24" s="25" t="str">
        <f>""</f>
        <v/>
      </c>
      <c r="AW24" s="25" t="str">
        <f>""</f>
        <v/>
      </c>
      <c r="AX24" s="35" t="str">
        <f>""</f>
        <v/>
      </c>
      <c r="AY24" s="35" t="str">
        <f>""</f>
        <v/>
      </c>
      <c r="AZ24" s="35" t="str">
        <f>""</f>
        <v/>
      </c>
      <c r="BA24" s="35" t="str">
        <f>""</f>
        <v/>
      </c>
      <c r="BB24" s="35" t="str">
        <f>""</f>
        <v/>
      </c>
      <c r="BC24" s="35" t="str">
        <f>""</f>
        <v/>
      </c>
      <c r="BD24" s="35" t="str">
        <f>""</f>
        <v/>
      </c>
      <c r="BE24" s="36"/>
      <c r="BF24" s="36"/>
      <c r="BG24" s="25" t="s">
        <v>270</v>
      </c>
    </row>
    <row r="25" spans="1:59" x14ac:dyDescent="0.25">
      <c r="A25" s="25" t="str">
        <f t="shared" si="0"/>
        <v>PE220002051</v>
      </c>
      <c r="B25" s="35" t="str">
        <f>""</f>
        <v/>
      </c>
      <c r="C25" s="25" t="s">
        <v>84</v>
      </c>
      <c r="D25" s="25" t="str">
        <f t="shared" ref="D25:D33" si="3">CONCATENATE(F25,G25,H25)</f>
        <v>PE220002051</v>
      </c>
      <c r="E25" s="25" t="s">
        <v>108</v>
      </c>
      <c r="F25" s="25" t="s">
        <v>1</v>
      </c>
      <c r="G25" s="25">
        <v>2000</v>
      </c>
      <c r="H25" s="25">
        <v>2051</v>
      </c>
      <c r="I25" s="25" t="s">
        <v>47</v>
      </c>
      <c r="J25" s="25">
        <v>21707133</v>
      </c>
      <c r="K25" s="25" t="s">
        <v>48</v>
      </c>
      <c r="L25" s="25">
        <v>2</v>
      </c>
      <c r="M25" s="25" t="s">
        <v>49</v>
      </c>
      <c r="N25" s="25" t="s">
        <v>51</v>
      </c>
      <c r="O25" s="25" t="s">
        <v>47</v>
      </c>
      <c r="P25" s="25">
        <v>21707132</v>
      </c>
      <c r="Q25" s="25" t="s">
        <v>50</v>
      </c>
      <c r="R25" s="25">
        <v>1</v>
      </c>
      <c r="S25" s="25" t="s">
        <v>49</v>
      </c>
      <c r="T25" s="25" t="s">
        <v>51</v>
      </c>
      <c r="U25" s="25" t="s">
        <v>47</v>
      </c>
      <c r="V25" s="25">
        <v>22480372</v>
      </c>
      <c r="W25" s="25" t="s">
        <v>52</v>
      </c>
      <c r="X25" s="25">
        <v>1</v>
      </c>
      <c r="Y25" s="25" t="s">
        <v>49</v>
      </c>
      <c r="Z25" s="25" t="s">
        <v>51</v>
      </c>
      <c r="AA25" s="25" t="s">
        <v>47</v>
      </c>
      <c r="AB25" s="25">
        <v>21380488</v>
      </c>
      <c r="AC25" s="25" t="s">
        <v>52</v>
      </c>
      <c r="AD25" s="25">
        <v>1</v>
      </c>
      <c r="AE25" s="25" t="s">
        <v>49</v>
      </c>
      <c r="AF25" s="25" t="s">
        <v>51</v>
      </c>
      <c r="AG25" s="25" t="s">
        <v>1</v>
      </c>
      <c r="AH25" s="25">
        <v>20002050</v>
      </c>
      <c r="AI25" s="25" t="s">
        <v>136</v>
      </c>
      <c r="AJ25" s="25">
        <v>1</v>
      </c>
      <c r="AK25" s="25" t="s">
        <v>49</v>
      </c>
      <c r="AL25" s="25" t="s">
        <v>51</v>
      </c>
      <c r="AM25" s="25" t="s">
        <v>47</v>
      </c>
      <c r="AN25" s="34">
        <v>23068344</v>
      </c>
      <c r="AO25" s="25" t="s">
        <v>59</v>
      </c>
      <c r="AP25" s="25">
        <v>38</v>
      </c>
      <c r="AQ25" s="25" t="s">
        <v>53</v>
      </c>
      <c r="AR25" s="25" t="str">
        <f>""</f>
        <v/>
      </c>
      <c r="AS25" s="25" t="str">
        <f>""</f>
        <v/>
      </c>
      <c r="AT25" s="25" t="str">
        <f>""</f>
        <v/>
      </c>
      <c r="AU25" s="25" t="str">
        <f>""</f>
        <v/>
      </c>
      <c r="AV25" s="25" t="str">
        <f>""</f>
        <v/>
      </c>
      <c r="AW25" s="25" t="str">
        <f>""</f>
        <v/>
      </c>
      <c r="AX25" s="35" t="str">
        <f>""</f>
        <v/>
      </c>
      <c r="AY25" s="35" t="str">
        <f>""</f>
        <v/>
      </c>
      <c r="AZ25" s="35" t="str">
        <f>""</f>
        <v/>
      </c>
      <c r="BA25" s="35" t="str">
        <f>""</f>
        <v/>
      </c>
      <c r="BB25" s="35" t="str">
        <f>""</f>
        <v/>
      </c>
      <c r="BC25" s="35" t="str">
        <f>""</f>
        <v/>
      </c>
      <c r="BD25" s="35" t="str">
        <f>""</f>
        <v/>
      </c>
      <c r="BE25" s="36"/>
      <c r="BF25" s="36"/>
      <c r="BG25" s="25" t="s">
        <v>269</v>
      </c>
    </row>
    <row r="26" spans="1:59" x14ac:dyDescent="0.25">
      <c r="A26" s="25" t="str">
        <f t="shared" si="0"/>
        <v>PE220002055</v>
      </c>
      <c r="B26" s="35" t="str">
        <f>""</f>
        <v/>
      </c>
      <c r="C26" s="25" t="s">
        <v>85</v>
      </c>
      <c r="D26" s="25" t="str">
        <f t="shared" si="3"/>
        <v>PE220002055</v>
      </c>
      <c r="E26" s="25" t="s">
        <v>196</v>
      </c>
      <c r="F26" s="25" t="s">
        <v>1</v>
      </c>
      <c r="G26" s="25">
        <v>2000</v>
      </c>
      <c r="H26" s="25">
        <v>2055</v>
      </c>
      <c r="I26" s="25" t="s">
        <v>47</v>
      </c>
      <c r="J26" s="25">
        <v>21707133</v>
      </c>
      <c r="K26" s="25" t="s">
        <v>48</v>
      </c>
      <c r="L26" s="25">
        <v>2</v>
      </c>
      <c r="M26" s="25" t="s">
        <v>49</v>
      </c>
      <c r="N26" s="25" t="s">
        <v>51</v>
      </c>
      <c r="O26" s="25" t="s">
        <v>47</v>
      </c>
      <c r="P26" s="25">
        <v>21707132</v>
      </c>
      <c r="Q26" s="25" t="s">
        <v>50</v>
      </c>
      <c r="R26" s="25">
        <v>1</v>
      </c>
      <c r="S26" s="25" t="s">
        <v>49</v>
      </c>
      <c r="T26" s="25" t="s">
        <v>51</v>
      </c>
      <c r="U26" s="25" t="s">
        <v>47</v>
      </c>
      <c r="V26" s="25">
        <v>22480372</v>
      </c>
      <c r="W26" s="25" t="s">
        <v>52</v>
      </c>
      <c r="X26" s="25">
        <v>1</v>
      </c>
      <c r="Y26" s="25" t="s">
        <v>49</v>
      </c>
      <c r="Z26" s="25" t="s">
        <v>51</v>
      </c>
      <c r="AA26" s="25" t="s">
        <v>47</v>
      </c>
      <c r="AB26" s="25">
        <v>21380475</v>
      </c>
      <c r="AC26" s="25" t="s">
        <v>52</v>
      </c>
      <c r="AD26" s="25">
        <v>1</v>
      </c>
      <c r="AE26" s="25" t="s">
        <v>49</v>
      </c>
      <c r="AF26" s="25" t="s">
        <v>51</v>
      </c>
      <c r="AG26" s="25" t="s">
        <v>1</v>
      </c>
      <c r="AH26" s="25">
        <v>20002050</v>
      </c>
      <c r="AI26" s="25" t="s">
        <v>136</v>
      </c>
      <c r="AJ26" s="25">
        <v>1</v>
      </c>
      <c r="AK26" s="25" t="s">
        <v>49</v>
      </c>
      <c r="AL26" s="25" t="s">
        <v>51</v>
      </c>
      <c r="AM26" s="25" t="s">
        <v>47</v>
      </c>
      <c r="AN26" s="34">
        <v>23068344</v>
      </c>
      <c r="AO26" s="25" t="s">
        <v>59</v>
      </c>
      <c r="AP26" s="25">
        <v>38</v>
      </c>
      <c r="AQ26" s="25" t="s">
        <v>53</v>
      </c>
      <c r="AR26" s="25" t="str">
        <f>""</f>
        <v/>
      </c>
      <c r="AS26" s="25" t="str">
        <f>""</f>
        <v/>
      </c>
      <c r="AT26" s="25" t="str">
        <f>""</f>
        <v/>
      </c>
      <c r="AU26" s="25" t="str">
        <f>""</f>
        <v/>
      </c>
      <c r="AV26" s="25" t="str">
        <f>""</f>
        <v/>
      </c>
      <c r="AW26" s="25" t="str">
        <f>""</f>
        <v/>
      </c>
      <c r="AX26" s="35" t="str">
        <f>""</f>
        <v/>
      </c>
      <c r="AY26" s="35" t="str">
        <f>""</f>
        <v/>
      </c>
      <c r="AZ26" s="35" t="str">
        <f>""</f>
        <v/>
      </c>
      <c r="BA26" s="35" t="str">
        <f>""</f>
        <v/>
      </c>
      <c r="BB26" s="35" t="str">
        <f>""</f>
        <v/>
      </c>
      <c r="BC26" s="35" t="str">
        <f>""</f>
        <v/>
      </c>
      <c r="BD26" s="35" t="str">
        <f>""</f>
        <v/>
      </c>
      <c r="BE26" s="36"/>
      <c r="BF26" s="36"/>
      <c r="BG26" s="25" t="s">
        <v>269</v>
      </c>
    </row>
    <row r="27" spans="1:59" x14ac:dyDescent="0.25">
      <c r="A27" s="25" t="str">
        <f t="shared" si="0"/>
        <v>PE220002065</v>
      </c>
      <c r="B27" s="35" t="str">
        <f>""</f>
        <v/>
      </c>
      <c r="C27" s="25" t="s">
        <v>86</v>
      </c>
      <c r="D27" s="25" t="str">
        <f t="shared" si="3"/>
        <v>PE220002065</v>
      </c>
      <c r="E27" s="25" t="s">
        <v>109</v>
      </c>
      <c r="F27" s="25" t="s">
        <v>1</v>
      </c>
      <c r="G27" s="25">
        <v>2000</v>
      </c>
      <c r="H27" s="25">
        <v>2065</v>
      </c>
      <c r="I27" s="25" t="s">
        <v>47</v>
      </c>
      <c r="J27" s="25">
        <v>21707133</v>
      </c>
      <c r="K27" s="25" t="s">
        <v>48</v>
      </c>
      <c r="L27" s="25">
        <v>2</v>
      </c>
      <c r="M27" s="25" t="s">
        <v>49</v>
      </c>
      <c r="N27" s="25" t="s">
        <v>51</v>
      </c>
      <c r="O27" s="25" t="s">
        <v>47</v>
      </c>
      <c r="P27" s="25">
        <v>21707132</v>
      </c>
      <c r="Q27" s="25" t="s">
        <v>50</v>
      </c>
      <c r="R27" s="25">
        <v>1</v>
      </c>
      <c r="S27" s="25" t="s">
        <v>49</v>
      </c>
      <c r="T27" s="25" t="s">
        <v>51</v>
      </c>
      <c r="U27" s="25" t="s">
        <v>47</v>
      </c>
      <c r="V27" s="25">
        <v>8193841</v>
      </c>
      <c r="W27" s="25" t="s">
        <v>52</v>
      </c>
      <c r="X27" s="25">
        <v>1</v>
      </c>
      <c r="Y27" s="25" t="s">
        <v>49</v>
      </c>
      <c r="Z27" s="25" t="s">
        <v>51</v>
      </c>
      <c r="AA27" s="25" t="s">
        <v>1</v>
      </c>
      <c r="AB27" s="25">
        <v>20002050</v>
      </c>
      <c r="AC27" s="25" t="s">
        <v>136</v>
      </c>
      <c r="AD27" s="25">
        <v>1</v>
      </c>
      <c r="AE27" s="25" t="s">
        <v>49</v>
      </c>
      <c r="AF27" s="25" t="s">
        <v>51</v>
      </c>
      <c r="AG27" s="25" t="s">
        <v>47</v>
      </c>
      <c r="AH27" s="25">
        <v>23068344</v>
      </c>
      <c r="AI27" s="25" t="s">
        <v>127</v>
      </c>
      <c r="AJ27" s="25">
        <v>38</v>
      </c>
      <c r="AK27" s="25" t="s">
        <v>53</v>
      </c>
      <c r="AL27" s="25" t="str">
        <f>""</f>
        <v/>
      </c>
      <c r="AM27" s="25" t="str">
        <f>""</f>
        <v/>
      </c>
      <c r="AN27" s="34" t="str">
        <f>""</f>
        <v/>
      </c>
      <c r="AO27" s="25" t="str">
        <f>""</f>
        <v/>
      </c>
      <c r="AP27" s="25" t="str">
        <f>""</f>
        <v/>
      </c>
      <c r="AQ27" s="25" t="str">
        <f>""</f>
        <v/>
      </c>
      <c r="AR27" s="25" t="str">
        <f>""</f>
        <v/>
      </c>
      <c r="AS27" s="25" t="str">
        <f>""</f>
        <v/>
      </c>
      <c r="AT27" s="25" t="str">
        <f>""</f>
        <v/>
      </c>
      <c r="AU27" s="25" t="str">
        <f>""</f>
        <v/>
      </c>
      <c r="AV27" s="25" t="str">
        <f>""</f>
        <v/>
      </c>
      <c r="AW27" s="25" t="str">
        <f>""</f>
        <v/>
      </c>
      <c r="AX27" s="35" t="str">
        <f>""</f>
        <v/>
      </c>
      <c r="AY27" s="35" t="str">
        <f>""</f>
        <v/>
      </c>
      <c r="AZ27" s="35" t="str">
        <f>""</f>
        <v/>
      </c>
      <c r="BA27" s="35" t="str">
        <f>""</f>
        <v/>
      </c>
      <c r="BB27" s="35" t="str">
        <f>""</f>
        <v/>
      </c>
      <c r="BC27" s="35" t="str">
        <f>""</f>
        <v/>
      </c>
      <c r="BD27" s="35" t="str">
        <f>""</f>
        <v/>
      </c>
      <c r="BE27" s="36"/>
      <c r="BF27" s="36"/>
      <c r="BG27" s="25" t="s">
        <v>269</v>
      </c>
    </row>
    <row r="28" spans="1:59" x14ac:dyDescent="0.25">
      <c r="A28" s="25" t="str">
        <f t="shared" si="0"/>
        <v>PE220002067</v>
      </c>
      <c r="B28" s="35" t="str">
        <f>""</f>
        <v/>
      </c>
      <c r="C28" s="25" t="s">
        <v>87</v>
      </c>
      <c r="D28" s="25" t="str">
        <f t="shared" si="3"/>
        <v>PE220002067</v>
      </c>
      <c r="E28" s="25" t="s">
        <v>110</v>
      </c>
      <c r="F28" s="25" t="s">
        <v>1</v>
      </c>
      <c r="G28" s="25">
        <v>2000</v>
      </c>
      <c r="H28" s="25">
        <v>2067</v>
      </c>
      <c r="I28" s="25" t="s">
        <v>47</v>
      </c>
      <c r="J28" s="25">
        <v>21707134</v>
      </c>
      <c r="K28" s="25" t="s">
        <v>60</v>
      </c>
      <c r="L28" s="25">
        <v>2</v>
      </c>
      <c r="M28" s="25" t="s">
        <v>49</v>
      </c>
      <c r="N28" s="25" t="s">
        <v>51</v>
      </c>
      <c r="O28" s="25" t="s">
        <v>47</v>
      </c>
      <c r="P28" s="25">
        <v>466987</v>
      </c>
      <c r="Q28" s="25" t="s">
        <v>61</v>
      </c>
      <c r="R28" s="25">
        <v>2</v>
      </c>
      <c r="S28" s="25" t="s">
        <v>49</v>
      </c>
      <c r="T28" s="25" t="s">
        <v>51</v>
      </c>
      <c r="U28" s="25" t="s">
        <v>1</v>
      </c>
      <c r="V28" s="25">
        <v>20002050</v>
      </c>
      <c r="W28" s="25" t="s">
        <v>136</v>
      </c>
      <c r="X28" s="25">
        <v>1</v>
      </c>
      <c r="Y28" s="25" t="s">
        <v>49</v>
      </c>
      <c r="Z28" s="25" t="s">
        <v>51</v>
      </c>
      <c r="AA28" s="25" t="s">
        <v>47</v>
      </c>
      <c r="AB28" s="25">
        <v>23068344</v>
      </c>
      <c r="AC28" s="25" t="s">
        <v>59</v>
      </c>
      <c r="AD28" s="25">
        <v>38</v>
      </c>
      <c r="AE28" s="25" t="s">
        <v>53</v>
      </c>
      <c r="AF28" s="25" t="str">
        <f>""</f>
        <v/>
      </c>
      <c r="AG28" s="25" t="str">
        <f>""</f>
        <v/>
      </c>
      <c r="AH28" s="25" t="str">
        <f>""</f>
        <v/>
      </c>
      <c r="AI28" s="25" t="str">
        <f>""</f>
        <v/>
      </c>
      <c r="AJ28" s="25" t="str">
        <f>""</f>
        <v/>
      </c>
      <c r="AK28" s="25" t="str">
        <f>""</f>
        <v/>
      </c>
      <c r="AL28" s="25" t="str">
        <f>""</f>
        <v/>
      </c>
      <c r="AM28" s="25" t="str">
        <f>""</f>
        <v/>
      </c>
      <c r="AN28" s="25" t="str">
        <f>""</f>
        <v/>
      </c>
      <c r="AO28" s="25" t="str">
        <f>""</f>
        <v/>
      </c>
      <c r="AP28" s="25" t="str">
        <f>""</f>
        <v/>
      </c>
      <c r="AQ28" s="25" t="str">
        <f>""</f>
        <v/>
      </c>
      <c r="AR28" s="25" t="str">
        <f>""</f>
        <v/>
      </c>
      <c r="AS28" s="25" t="str">
        <f>""</f>
        <v/>
      </c>
      <c r="AT28" s="25" t="str">
        <f>""</f>
        <v/>
      </c>
      <c r="AU28" s="25" t="str">
        <f>""</f>
        <v/>
      </c>
      <c r="AV28" s="25" t="str">
        <f>""</f>
        <v/>
      </c>
      <c r="AW28" s="25" t="str">
        <f>""</f>
        <v/>
      </c>
      <c r="AX28" s="25" t="str">
        <f>""</f>
        <v/>
      </c>
      <c r="AY28" s="25" t="str">
        <f>""</f>
        <v/>
      </c>
      <c r="AZ28" s="25" t="str">
        <f>""</f>
        <v/>
      </c>
      <c r="BA28" s="25" t="str">
        <f>""</f>
        <v/>
      </c>
      <c r="BB28" s="25" t="str">
        <f>""</f>
        <v/>
      </c>
      <c r="BC28" s="25" t="str">
        <f>""</f>
        <v/>
      </c>
      <c r="BD28" s="25" t="str">
        <f>""</f>
        <v/>
      </c>
      <c r="BE28" s="36"/>
      <c r="BF28" s="36"/>
      <c r="BG28" s="25" t="s">
        <v>269</v>
      </c>
    </row>
    <row r="29" spans="1:59" x14ac:dyDescent="0.25">
      <c r="A29" s="25" t="str">
        <f t="shared" si="0"/>
        <v>PE220002053</v>
      </c>
      <c r="B29" s="35" t="str">
        <f>""</f>
        <v/>
      </c>
      <c r="C29" s="25" t="s">
        <v>88</v>
      </c>
      <c r="D29" s="25" t="str">
        <f t="shared" si="3"/>
        <v>PE220002053</v>
      </c>
      <c r="E29" s="25" t="s">
        <v>132</v>
      </c>
      <c r="F29" s="25" t="s">
        <v>1</v>
      </c>
      <c r="G29" s="25">
        <v>2000</v>
      </c>
      <c r="H29" s="25">
        <v>2053</v>
      </c>
      <c r="I29" s="25" t="s">
        <v>47</v>
      </c>
      <c r="J29" s="25">
        <v>21707133</v>
      </c>
      <c r="K29" s="25" t="s">
        <v>48</v>
      </c>
      <c r="L29" s="25">
        <v>10</v>
      </c>
      <c r="M29" s="25" t="s">
        <v>49</v>
      </c>
      <c r="N29" s="25" t="s">
        <v>51</v>
      </c>
      <c r="O29" s="25" t="s">
        <v>47</v>
      </c>
      <c r="P29" s="25">
        <v>21707132</v>
      </c>
      <c r="Q29" s="25" t="s">
        <v>50</v>
      </c>
      <c r="R29" s="25">
        <v>5</v>
      </c>
      <c r="S29" s="25" t="s">
        <v>49</v>
      </c>
      <c r="T29" s="25" t="s">
        <v>51</v>
      </c>
      <c r="U29" s="25" t="s">
        <v>47</v>
      </c>
      <c r="V29" s="25">
        <v>22480372</v>
      </c>
      <c r="W29" s="25" t="s">
        <v>52</v>
      </c>
      <c r="X29" s="25">
        <v>5</v>
      </c>
      <c r="Y29" s="25" t="s">
        <v>49</v>
      </c>
      <c r="Z29" s="25" t="s">
        <v>51</v>
      </c>
      <c r="AA29" s="25" t="s">
        <v>47</v>
      </c>
      <c r="AB29" s="25">
        <v>21380488</v>
      </c>
      <c r="AC29" s="25" t="s">
        <v>52</v>
      </c>
      <c r="AD29" s="25">
        <v>5</v>
      </c>
      <c r="AE29" s="25" t="s">
        <v>49</v>
      </c>
      <c r="AF29" s="25" t="s">
        <v>51</v>
      </c>
      <c r="AG29" s="25" t="s">
        <v>1</v>
      </c>
      <c r="AH29" s="25">
        <v>20002050</v>
      </c>
      <c r="AI29" s="25" t="s">
        <v>136</v>
      </c>
      <c r="AJ29" s="25">
        <v>5</v>
      </c>
      <c r="AK29" s="25" t="s">
        <v>49</v>
      </c>
      <c r="AL29" s="25" t="s">
        <v>51</v>
      </c>
      <c r="AM29" s="25" t="s">
        <v>47</v>
      </c>
      <c r="AN29" s="34">
        <v>23068345</v>
      </c>
      <c r="AO29" s="25" t="s">
        <v>348</v>
      </c>
      <c r="AP29" s="25">
        <v>208</v>
      </c>
      <c r="AQ29" s="25" t="s">
        <v>53</v>
      </c>
      <c r="AR29" s="25" t="str">
        <f>""</f>
        <v/>
      </c>
      <c r="AS29" s="25" t="str">
        <f>""</f>
        <v/>
      </c>
      <c r="AT29" s="25" t="str">
        <f>""</f>
        <v/>
      </c>
      <c r="AU29" s="25" t="str">
        <f>""</f>
        <v/>
      </c>
      <c r="AV29" s="25" t="str">
        <f>""</f>
        <v/>
      </c>
      <c r="AW29" s="25" t="str">
        <f>""</f>
        <v/>
      </c>
      <c r="AX29" s="35" t="str">
        <f>""</f>
        <v/>
      </c>
      <c r="AY29" s="35" t="str">
        <f>""</f>
        <v/>
      </c>
      <c r="AZ29" s="35" t="str">
        <f>""</f>
        <v/>
      </c>
      <c r="BA29" s="35" t="str">
        <f>""</f>
        <v/>
      </c>
      <c r="BB29" s="35" t="str">
        <f>""</f>
        <v/>
      </c>
      <c r="BC29" s="35" t="str">
        <f>""</f>
        <v/>
      </c>
      <c r="BD29" s="35" t="str">
        <f>""</f>
        <v/>
      </c>
      <c r="BE29" s="36"/>
      <c r="BF29" s="36"/>
      <c r="BG29" s="25" t="s">
        <v>269</v>
      </c>
    </row>
    <row r="30" spans="1:59" x14ac:dyDescent="0.25">
      <c r="A30" s="25" t="str">
        <f t="shared" si="0"/>
        <v>PE220002057</v>
      </c>
      <c r="B30" s="35" t="str">
        <f>""</f>
        <v/>
      </c>
      <c r="C30" s="25" t="s">
        <v>111</v>
      </c>
      <c r="D30" s="25" t="str">
        <f t="shared" si="3"/>
        <v>PE220002057</v>
      </c>
      <c r="E30" s="25" t="s">
        <v>133</v>
      </c>
      <c r="F30" s="25" t="s">
        <v>1</v>
      </c>
      <c r="G30" s="25">
        <v>2000</v>
      </c>
      <c r="H30" s="25">
        <v>2057</v>
      </c>
      <c r="I30" s="25" t="s">
        <v>47</v>
      </c>
      <c r="J30" s="25">
        <v>21707133</v>
      </c>
      <c r="K30" s="25" t="s">
        <v>48</v>
      </c>
      <c r="L30" s="25">
        <v>10</v>
      </c>
      <c r="M30" s="25" t="s">
        <v>49</v>
      </c>
      <c r="N30" s="25" t="s">
        <v>51</v>
      </c>
      <c r="O30" s="25" t="s">
        <v>47</v>
      </c>
      <c r="P30" s="25">
        <v>21707132</v>
      </c>
      <c r="Q30" s="25" t="s">
        <v>50</v>
      </c>
      <c r="R30" s="25">
        <v>5</v>
      </c>
      <c r="S30" s="25" t="s">
        <v>49</v>
      </c>
      <c r="T30" s="25" t="s">
        <v>51</v>
      </c>
      <c r="U30" s="25" t="s">
        <v>47</v>
      </c>
      <c r="V30" s="25">
        <v>22480372</v>
      </c>
      <c r="W30" s="25" t="s">
        <v>52</v>
      </c>
      <c r="X30" s="25">
        <v>5</v>
      </c>
      <c r="Y30" s="25" t="s">
        <v>49</v>
      </c>
      <c r="Z30" s="25" t="s">
        <v>51</v>
      </c>
      <c r="AA30" s="25" t="s">
        <v>47</v>
      </c>
      <c r="AB30" s="25">
        <v>21380475</v>
      </c>
      <c r="AC30" s="25" t="s">
        <v>52</v>
      </c>
      <c r="AD30" s="25">
        <v>5</v>
      </c>
      <c r="AE30" s="25" t="s">
        <v>49</v>
      </c>
      <c r="AF30" s="25" t="s">
        <v>51</v>
      </c>
      <c r="AG30" s="25" t="s">
        <v>1</v>
      </c>
      <c r="AH30" s="25">
        <v>20002050</v>
      </c>
      <c r="AI30" s="25" t="s">
        <v>136</v>
      </c>
      <c r="AJ30" s="25">
        <v>5</v>
      </c>
      <c r="AK30" s="25" t="s">
        <v>49</v>
      </c>
      <c r="AL30" s="25" t="s">
        <v>51</v>
      </c>
      <c r="AM30" s="25" t="s">
        <v>47</v>
      </c>
      <c r="AN30" s="34">
        <v>23068345</v>
      </c>
      <c r="AO30" s="25" t="s">
        <v>348</v>
      </c>
      <c r="AP30" s="25">
        <v>208</v>
      </c>
      <c r="AQ30" s="25" t="s">
        <v>53</v>
      </c>
      <c r="AR30" s="25" t="str">
        <f>""</f>
        <v/>
      </c>
      <c r="AS30" s="25" t="str">
        <f>""</f>
        <v/>
      </c>
      <c r="AT30" s="25" t="str">
        <f>""</f>
        <v/>
      </c>
      <c r="AU30" s="25" t="str">
        <f>""</f>
        <v/>
      </c>
      <c r="AV30" s="25" t="str">
        <f>""</f>
        <v/>
      </c>
      <c r="AW30" s="25" t="str">
        <f>""</f>
        <v/>
      </c>
      <c r="AX30" s="35" t="str">
        <f>""</f>
        <v/>
      </c>
      <c r="AY30" s="35" t="str">
        <f>""</f>
        <v/>
      </c>
      <c r="AZ30" s="35" t="str">
        <f>""</f>
        <v/>
      </c>
      <c r="BA30" s="35" t="str">
        <f>""</f>
        <v/>
      </c>
      <c r="BB30" s="35" t="str">
        <f>""</f>
        <v/>
      </c>
      <c r="BC30" s="35" t="str">
        <f>""</f>
        <v/>
      </c>
      <c r="BD30" s="35" t="str">
        <f>""</f>
        <v/>
      </c>
      <c r="BE30" s="36"/>
      <c r="BF30" s="36"/>
      <c r="BG30" s="25" t="s">
        <v>269</v>
      </c>
    </row>
    <row r="31" spans="1:59" x14ac:dyDescent="0.25">
      <c r="A31" s="25" t="str">
        <f t="shared" si="0"/>
        <v>PE220002059</v>
      </c>
      <c r="B31" s="35" t="str">
        <f>""</f>
        <v/>
      </c>
      <c r="C31" s="25" t="s">
        <v>112</v>
      </c>
      <c r="D31" s="25" t="str">
        <f t="shared" si="3"/>
        <v>PE220002059</v>
      </c>
      <c r="E31" s="25" t="s">
        <v>134</v>
      </c>
      <c r="F31" s="25" t="s">
        <v>1</v>
      </c>
      <c r="G31" s="25">
        <v>2000</v>
      </c>
      <c r="H31" s="25">
        <v>2059</v>
      </c>
      <c r="I31" s="25" t="s">
        <v>47</v>
      </c>
      <c r="J31" s="25">
        <v>21707133</v>
      </c>
      <c r="K31" s="25" t="s">
        <v>48</v>
      </c>
      <c r="L31" s="25">
        <v>10</v>
      </c>
      <c r="M31" s="25" t="s">
        <v>49</v>
      </c>
      <c r="N31" s="25" t="s">
        <v>51</v>
      </c>
      <c r="O31" s="25" t="s">
        <v>47</v>
      </c>
      <c r="P31" s="25">
        <v>21707132</v>
      </c>
      <c r="Q31" s="25" t="s">
        <v>50</v>
      </c>
      <c r="R31" s="25">
        <v>5</v>
      </c>
      <c r="S31" s="25" t="s">
        <v>49</v>
      </c>
      <c r="T31" s="25" t="s">
        <v>51</v>
      </c>
      <c r="U31" s="25" t="s">
        <v>47</v>
      </c>
      <c r="V31" s="25">
        <v>21632237</v>
      </c>
      <c r="W31" s="25" t="s">
        <v>63</v>
      </c>
      <c r="X31" s="25">
        <v>5</v>
      </c>
      <c r="Y31" s="25" t="s">
        <v>49</v>
      </c>
      <c r="Z31" s="25" t="s">
        <v>51</v>
      </c>
      <c r="AA31" s="25" t="s">
        <v>47</v>
      </c>
      <c r="AB31" s="25">
        <v>21380475</v>
      </c>
      <c r="AC31" s="25" t="s">
        <v>63</v>
      </c>
      <c r="AD31" s="25">
        <v>5</v>
      </c>
      <c r="AE31" s="25" t="s">
        <v>49</v>
      </c>
      <c r="AF31" s="25" t="s">
        <v>51</v>
      </c>
      <c r="AG31" s="25" t="s">
        <v>1</v>
      </c>
      <c r="AH31" s="25">
        <v>20002050</v>
      </c>
      <c r="AI31" s="25" t="s">
        <v>136</v>
      </c>
      <c r="AJ31" s="25">
        <v>5</v>
      </c>
      <c r="AK31" s="25" t="s">
        <v>49</v>
      </c>
      <c r="AL31" s="25" t="s">
        <v>51</v>
      </c>
      <c r="AM31" s="25" t="s">
        <v>47</v>
      </c>
      <c r="AN31" s="34">
        <v>23068345</v>
      </c>
      <c r="AO31" s="25" t="s">
        <v>348</v>
      </c>
      <c r="AP31" s="25">
        <v>208</v>
      </c>
      <c r="AQ31" s="25" t="s">
        <v>53</v>
      </c>
      <c r="AR31" s="25" t="str">
        <f>""</f>
        <v/>
      </c>
      <c r="AS31" s="25" t="str">
        <f>""</f>
        <v/>
      </c>
      <c r="AT31" s="25" t="str">
        <f>""</f>
        <v/>
      </c>
      <c r="AU31" s="25" t="str">
        <f>""</f>
        <v/>
      </c>
      <c r="AV31" s="25" t="str">
        <f>""</f>
        <v/>
      </c>
      <c r="AW31" s="25" t="str">
        <f>""</f>
        <v/>
      </c>
      <c r="AX31" s="35" t="str">
        <f>""</f>
        <v/>
      </c>
      <c r="AY31" s="35" t="str">
        <f>""</f>
        <v/>
      </c>
      <c r="AZ31" s="35" t="str">
        <f>""</f>
        <v/>
      </c>
      <c r="BA31" s="35" t="str">
        <f>""</f>
        <v/>
      </c>
      <c r="BB31" s="35" t="str">
        <f>""</f>
        <v/>
      </c>
      <c r="BC31" s="35" t="str">
        <f>""</f>
        <v/>
      </c>
      <c r="BD31" s="35" t="str">
        <f>""</f>
        <v/>
      </c>
      <c r="BE31" s="36"/>
      <c r="BF31" s="36"/>
      <c r="BG31" s="25" t="s">
        <v>269</v>
      </c>
    </row>
    <row r="32" spans="1:59" x14ac:dyDescent="0.25">
      <c r="A32" s="25" t="str">
        <f t="shared" si="0"/>
        <v>PE220002061</v>
      </c>
      <c r="B32" s="35" t="str">
        <f>""</f>
        <v/>
      </c>
      <c r="C32" s="25" t="s">
        <v>113</v>
      </c>
      <c r="D32" s="25" t="str">
        <f t="shared" si="3"/>
        <v>PE220002061</v>
      </c>
      <c r="E32" s="25" t="s">
        <v>135</v>
      </c>
      <c r="F32" s="25" t="s">
        <v>1</v>
      </c>
      <c r="G32" s="25">
        <v>2000</v>
      </c>
      <c r="H32" s="25">
        <v>2061</v>
      </c>
      <c r="I32" s="25" t="s">
        <v>47</v>
      </c>
      <c r="J32" s="25">
        <v>21707133</v>
      </c>
      <c r="K32" s="25" t="s">
        <v>48</v>
      </c>
      <c r="L32" s="25">
        <v>10</v>
      </c>
      <c r="M32" s="45" t="s">
        <v>49</v>
      </c>
      <c r="N32" s="25" t="s">
        <v>51</v>
      </c>
      <c r="O32" s="25" t="s">
        <v>47</v>
      </c>
      <c r="P32" s="25">
        <v>21707132</v>
      </c>
      <c r="Q32" s="25" t="s">
        <v>50</v>
      </c>
      <c r="R32" s="25">
        <v>5</v>
      </c>
      <c r="S32" s="25" t="s">
        <v>49</v>
      </c>
      <c r="T32" s="25" t="s">
        <v>51</v>
      </c>
      <c r="U32" s="25" t="s">
        <v>47</v>
      </c>
      <c r="V32" s="25">
        <v>22480372</v>
      </c>
      <c r="W32" s="25" t="s">
        <v>52</v>
      </c>
      <c r="X32" s="25">
        <v>5</v>
      </c>
      <c r="Y32" s="45" t="s">
        <v>49</v>
      </c>
      <c r="Z32" s="25" t="s">
        <v>51</v>
      </c>
      <c r="AA32" s="25" t="s">
        <v>47</v>
      </c>
      <c r="AB32" s="25">
        <v>20998367</v>
      </c>
      <c r="AC32" s="25" t="s">
        <v>58</v>
      </c>
      <c r="AD32" s="25">
        <v>5</v>
      </c>
      <c r="AE32" s="25" t="s">
        <v>49</v>
      </c>
      <c r="AF32" s="25" t="s">
        <v>51</v>
      </c>
      <c r="AG32" s="25" t="s">
        <v>1</v>
      </c>
      <c r="AH32" s="25">
        <v>20002050</v>
      </c>
      <c r="AI32" s="25" t="s">
        <v>136</v>
      </c>
      <c r="AJ32" s="25">
        <v>5</v>
      </c>
      <c r="AK32" s="25" t="s">
        <v>49</v>
      </c>
      <c r="AL32" s="25" t="s">
        <v>51</v>
      </c>
      <c r="AM32" s="25" t="s">
        <v>47</v>
      </c>
      <c r="AN32" s="34">
        <v>23068345</v>
      </c>
      <c r="AO32" s="25" t="s">
        <v>348</v>
      </c>
      <c r="AP32" s="25">
        <v>208</v>
      </c>
      <c r="AQ32" s="25" t="s">
        <v>53</v>
      </c>
      <c r="AR32" s="25" t="str">
        <f>""</f>
        <v/>
      </c>
      <c r="AS32" s="25" t="str">
        <f>""</f>
        <v/>
      </c>
      <c r="AT32" s="25" t="str">
        <f>""</f>
        <v/>
      </c>
      <c r="AU32" s="25" t="str">
        <f>""</f>
        <v/>
      </c>
      <c r="AV32" s="25" t="str">
        <f>""</f>
        <v/>
      </c>
      <c r="AW32" s="25" t="str">
        <f>""</f>
        <v/>
      </c>
      <c r="AX32" s="35" t="str">
        <f>""</f>
        <v/>
      </c>
      <c r="AY32" s="35" t="str">
        <f>""</f>
        <v/>
      </c>
      <c r="AZ32" s="35" t="str">
        <f>""</f>
        <v/>
      </c>
      <c r="BA32" s="35" t="str">
        <f>""</f>
        <v/>
      </c>
      <c r="BB32" s="35" t="str">
        <f>""</f>
        <v/>
      </c>
      <c r="BC32" s="35" t="str">
        <f>""</f>
        <v/>
      </c>
      <c r="BD32" s="35" t="str">
        <f>""</f>
        <v/>
      </c>
      <c r="BE32" s="36"/>
      <c r="BF32" s="36"/>
      <c r="BG32" s="25" t="s">
        <v>269</v>
      </c>
    </row>
    <row r="33" spans="1:59" x14ac:dyDescent="0.25">
      <c r="A33" s="25" t="str">
        <f t="shared" si="0"/>
        <v>PE220001979</v>
      </c>
      <c r="B33" s="35" t="str">
        <f>""</f>
        <v/>
      </c>
      <c r="C33" s="25" t="s">
        <v>114</v>
      </c>
      <c r="D33" s="25" t="str">
        <f t="shared" si="3"/>
        <v>PE220001979</v>
      </c>
      <c r="E33" s="25" t="s">
        <v>182</v>
      </c>
      <c r="F33" s="25" t="s">
        <v>1</v>
      </c>
      <c r="G33" s="25">
        <v>2000</v>
      </c>
      <c r="H33" s="25">
        <v>1979</v>
      </c>
      <c r="I33" s="25" t="s">
        <v>47</v>
      </c>
      <c r="J33" s="25">
        <v>21707134</v>
      </c>
      <c r="K33" s="25" t="s">
        <v>60</v>
      </c>
      <c r="L33" s="25">
        <v>1</v>
      </c>
      <c r="M33" s="45" t="s">
        <v>49</v>
      </c>
      <c r="N33" s="25" t="s">
        <v>51</v>
      </c>
      <c r="O33" s="25" t="s">
        <v>47</v>
      </c>
      <c r="P33" s="25">
        <v>20841523</v>
      </c>
      <c r="Q33" s="25" t="s">
        <v>52</v>
      </c>
      <c r="R33" s="25">
        <v>1</v>
      </c>
      <c r="S33" s="25" t="s">
        <v>49</v>
      </c>
      <c r="T33" s="25" t="s">
        <v>51</v>
      </c>
      <c r="U33" s="25" t="s">
        <v>47</v>
      </c>
      <c r="V33" s="25">
        <v>8159975</v>
      </c>
      <c r="W33" s="25" t="s">
        <v>343</v>
      </c>
      <c r="X33" s="25">
        <v>1</v>
      </c>
      <c r="Y33" s="45" t="s">
        <v>49</v>
      </c>
      <c r="Z33" s="25" t="s">
        <v>51</v>
      </c>
      <c r="AA33" s="25" t="s">
        <v>1</v>
      </c>
      <c r="AB33" s="25">
        <v>20002050</v>
      </c>
      <c r="AC33" s="25" t="s">
        <v>136</v>
      </c>
      <c r="AD33" s="25">
        <v>1</v>
      </c>
      <c r="AE33" s="25" t="s">
        <v>49</v>
      </c>
      <c r="AF33" s="25" t="s">
        <v>51</v>
      </c>
      <c r="AG33" s="25" t="s">
        <v>47</v>
      </c>
      <c r="AH33" s="25">
        <v>23068344</v>
      </c>
      <c r="AI33" s="25" t="s">
        <v>127</v>
      </c>
      <c r="AJ33" s="25">
        <v>19</v>
      </c>
      <c r="AK33" s="25" t="s">
        <v>53</v>
      </c>
      <c r="AL33" s="25"/>
      <c r="AM33" s="25" t="s">
        <v>47</v>
      </c>
      <c r="AN33" s="34">
        <v>23068343</v>
      </c>
      <c r="AO33" s="25" t="s">
        <v>64</v>
      </c>
      <c r="AP33" s="25">
        <v>2</v>
      </c>
      <c r="AQ33" s="25" t="s">
        <v>65</v>
      </c>
      <c r="AR33" s="25" t="str">
        <f>""</f>
        <v/>
      </c>
      <c r="AS33" s="25" t="str">
        <f>""</f>
        <v/>
      </c>
      <c r="AT33" s="25" t="str">
        <f>""</f>
        <v/>
      </c>
      <c r="AU33" s="25" t="str">
        <f>""</f>
        <v/>
      </c>
      <c r="AV33" s="25" t="str">
        <f>""</f>
        <v/>
      </c>
      <c r="AW33" s="25" t="str">
        <f>""</f>
        <v/>
      </c>
      <c r="AX33" s="35" t="str">
        <f>""</f>
        <v/>
      </c>
      <c r="AY33" s="35" t="str">
        <f>""</f>
        <v/>
      </c>
      <c r="AZ33" s="35" t="str">
        <f>""</f>
        <v/>
      </c>
      <c r="BA33" s="35" t="str">
        <f>""</f>
        <v/>
      </c>
      <c r="BB33" s="35" t="str">
        <f>""</f>
        <v/>
      </c>
      <c r="BC33" s="35" t="str">
        <f>""</f>
        <v/>
      </c>
      <c r="BD33" s="35" t="str">
        <f>""</f>
        <v/>
      </c>
      <c r="BE33" s="36"/>
      <c r="BF33" s="36"/>
      <c r="BG33" s="25" t="s">
        <v>269</v>
      </c>
    </row>
    <row r="34" spans="1:59" x14ac:dyDescent="0.25">
      <c r="A34" s="25" t="str">
        <f t="shared" si="0"/>
        <v>PE220002063</v>
      </c>
      <c r="B34" s="35" t="str">
        <f>""</f>
        <v/>
      </c>
      <c r="C34" s="25" t="s">
        <v>94</v>
      </c>
      <c r="D34" s="25" t="str">
        <f>CONCATENATE(F34,G34,H34)</f>
        <v>PE220002063</v>
      </c>
      <c r="E34" s="25" t="s">
        <v>93</v>
      </c>
      <c r="F34" s="25" t="s">
        <v>1</v>
      </c>
      <c r="G34" s="25">
        <v>2000</v>
      </c>
      <c r="H34" s="25">
        <v>2063</v>
      </c>
      <c r="I34" s="25" t="s">
        <v>47</v>
      </c>
      <c r="J34" s="25">
        <v>21707133</v>
      </c>
      <c r="K34" s="25" t="s">
        <v>48</v>
      </c>
      <c r="L34" s="25">
        <v>2</v>
      </c>
      <c r="M34" s="45" t="s">
        <v>49</v>
      </c>
      <c r="N34" s="25" t="s">
        <v>51</v>
      </c>
      <c r="O34" s="25" t="s">
        <v>47</v>
      </c>
      <c r="P34" s="25">
        <v>21707132</v>
      </c>
      <c r="Q34" s="25" t="s">
        <v>50</v>
      </c>
      <c r="R34" s="25">
        <v>1</v>
      </c>
      <c r="S34" s="25" t="s">
        <v>49</v>
      </c>
      <c r="T34" s="25" t="s">
        <v>51</v>
      </c>
      <c r="U34" s="25" t="s">
        <v>47</v>
      </c>
      <c r="V34" s="25">
        <v>22480372</v>
      </c>
      <c r="W34" s="25" t="s">
        <v>52</v>
      </c>
      <c r="X34" s="25">
        <v>1</v>
      </c>
      <c r="Y34" s="45" t="s">
        <v>49</v>
      </c>
      <c r="Z34" s="25" t="s">
        <v>51</v>
      </c>
      <c r="AA34" s="25" t="s">
        <v>47</v>
      </c>
      <c r="AB34" s="25">
        <v>20998367</v>
      </c>
      <c r="AC34" s="25" t="s">
        <v>126</v>
      </c>
      <c r="AD34" s="25">
        <v>1</v>
      </c>
      <c r="AE34" s="25" t="s">
        <v>49</v>
      </c>
      <c r="AF34" s="25" t="s">
        <v>51</v>
      </c>
      <c r="AG34" s="25" t="s">
        <v>1</v>
      </c>
      <c r="AH34" s="25">
        <v>20002050</v>
      </c>
      <c r="AI34" s="25" t="s">
        <v>136</v>
      </c>
      <c r="AJ34" s="25">
        <v>1</v>
      </c>
      <c r="AK34" s="25" t="s">
        <v>49</v>
      </c>
      <c r="AL34" s="25" t="s">
        <v>51</v>
      </c>
      <c r="AM34" s="25" t="s">
        <v>47</v>
      </c>
      <c r="AN34" s="34">
        <v>23068344</v>
      </c>
      <c r="AO34" s="25" t="s">
        <v>59</v>
      </c>
      <c r="AP34" s="25">
        <v>38</v>
      </c>
      <c r="AQ34" s="25" t="s">
        <v>53</v>
      </c>
      <c r="AR34" s="25" t="str">
        <f>""</f>
        <v/>
      </c>
      <c r="AS34" s="25" t="str">
        <f>""</f>
        <v/>
      </c>
      <c r="AT34" s="25" t="str">
        <f>""</f>
        <v/>
      </c>
      <c r="AU34" s="25" t="str">
        <f>""</f>
        <v/>
      </c>
      <c r="AV34" s="25" t="str">
        <f>""</f>
        <v/>
      </c>
      <c r="AW34" s="25" t="str">
        <f>""</f>
        <v/>
      </c>
      <c r="AX34" s="35" t="str">
        <f>""</f>
        <v/>
      </c>
      <c r="AY34" s="35" t="str">
        <f>""</f>
        <v/>
      </c>
      <c r="AZ34" s="35" t="str">
        <f>""</f>
        <v/>
      </c>
      <c r="BA34" s="35" t="str">
        <f>""</f>
        <v/>
      </c>
      <c r="BB34" s="35" t="str">
        <f>""</f>
        <v/>
      </c>
      <c r="BC34" s="35" t="str">
        <f>""</f>
        <v/>
      </c>
      <c r="BD34" s="35" t="str">
        <f>""</f>
        <v/>
      </c>
      <c r="BE34" s="36"/>
      <c r="BF34" s="36"/>
      <c r="BG34" s="25" t="s">
        <v>269</v>
      </c>
    </row>
    <row r="35" spans="1:59" x14ac:dyDescent="0.25">
      <c r="A35" s="25" t="str">
        <f t="shared" ref="A35:A66" si="4">CONCATENATE(D35,B35)</f>
        <v>PE220002048</v>
      </c>
      <c r="B35" s="35" t="str">
        <f>""</f>
        <v/>
      </c>
      <c r="C35" s="25" t="s">
        <v>95</v>
      </c>
      <c r="D35" s="25" t="str">
        <f t="shared" ref="D35:D38" si="5">CONCATENATE(F35,G35,H35)</f>
        <v>PE220002048</v>
      </c>
      <c r="E35" s="25" t="s">
        <v>190</v>
      </c>
      <c r="F35" s="25" t="s">
        <v>1</v>
      </c>
      <c r="G35" s="25">
        <v>2000</v>
      </c>
      <c r="H35" s="25">
        <v>2048</v>
      </c>
      <c r="I35" s="25" t="s">
        <v>47</v>
      </c>
      <c r="J35" s="25">
        <v>20998807</v>
      </c>
      <c r="K35" s="25" t="s">
        <v>345</v>
      </c>
      <c r="L35" s="25">
        <v>1</v>
      </c>
      <c r="M35" s="25" t="s">
        <v>49</v>
      </c>
      <c r="N35" s="25" t="s">
        <v>51</v>
      </c>
      <c r="O35" s="25" t="s">
        <v>47</v>
      </c>
      <c r="P35" s="25">
        <v>20998805</v>
      </c>
      <c r="Q35" s="25" t="s">
        <v>346</v>
      </c>
      <c r="R35" s="25">
        <v>1</v>
      </c>
      <c r="S35" s="25" t="s">
        <v>49</v>
      </c>
      <c r="T35" s="25" t="s">
        <v>51</v>
      </c>
      <c r="U35" s="25" t="s">
        <v>47</v>
      </c>
      <c r="V35" s="25">
        <v>21380408</v>
      </c>
      <c r="W35" s="25" t="s">
        <v>349</v>
      </c>
      <c r="X35" s="25">
        <v>1</v>
      </c>
      <c r="Y35" s="25" t="s">
        <v>49</v>
      </c>
      <c r="Z35" s="25" t="s">
        <v>51</v>
      </c>
      <c r="AA35" s="25" t="s">
        <v>1</v>
      </c>
      <c r="AB35" s="25">
        <v>20002050</v>
      </c>
      <c r="AC35" s="25" t="s">
        <v>136</v>
      </c>
      <c r="AD35" s="25">
        <v>1</v>
      </c>
      <c r="AE35" s="25" t="s">
        <v>49</v>
      </c>
      <c r="AF35" s="25" t="s">
        <v>51</v>
      </c>
      <c r="AG35" s="25" t="s">
        <v>47</v>
      </c>
      <c r="AH35" s="25">
        <v>23068344</v>
      </c>
      <c r="AI35" s="25" t="s">
        <v>127</v>
      </c>
      <c r="AJ35" s="25">
        <v>19</v>
      </c>
      <c r="AK35" s="25" t="s">
        <v>53</v>
      </c>
      <c r="AL35" s="25" t="str">
        <f>""</f>
        <v/>
      </c>
      <c r="AM35" s="25" t="s">
        <v>47</v>
      </c>
      <c r="AN35" s="34">
        <v>23068343</v>
      </c>
      <c r="AO35" s="25" t="s">
        <v>64</v>
      </c>
      <c r="AP35" s="25">
        <v>2</v>
      </c>
      <c r="AQ35" s="25" t="s">
        <v>65</v>
      </c>
      <c r="AR35" s="25" t="str">
        <f>""</f>
        <v/>
      </c>
      <c r="AS35" s="25" t="str">
        <f>""</f>
        <v/>
      </c>
      <c r="AT35" s="25" t="str">
        <f>""</f>
        <v/>
      </c>
      <c r="AU35" s="25" t="str">
        <f>""</f>
        <v/>
      </c>
      <c r="AV35" s="25" t="str">
        <f>""</f>
        <v/>
      </c>
      <c r="AW35" s="25" t="str">
        <f>""</f>
        <v/>
      </c>
      <c r="AX35" s="35" t="str">
        <f>""</f>
        <v/>
      </c>
      <c r="AY35" s="35" t="str">
        <f>""</f>
        <v/>
      </c>
      <c r="AZ35" s="35" t="str">
        <f>""</f>
        <v/>
      </c>
      <c r="BA35" s="35" t="str">
        <f>""</f>
        <v/>
      </c>
      <c r="BB35" s="35" t="str">
        <f>""</f>
        <v/>
      </c>
      <c r="BC35" s="35" t="str">
        <f>""</f>
        <v/>
      </c>
      <c r="BD35" s="35" t="str">
        <f>""</f>
        <v/>
      </c>
      <c r="BE35" s="36"/>
      <c r="BF35" s="36"/>
      <c r="BG35" s="25" t="s">
        <v>269</v>
      </c>
    </row>
    <row r="36" spans="1:59" x14ac:dyDescent="0.25">
      <c r="A36" s="25" t="str">
        <f t="shared" si="4"/>
        <v>PE420004106</v>
      </c>
      <c r="B36" s="35" t="str">
        <f>""</f>
        <v/>
      </c>
      <c r="C36" s="25" t="s">
        <v>129</v>
      </c>
      <c r="D36" s="72" t="str">
        <f t="shared" si="5"/>
        <v>PE420004106</v>
      </c>
      <c r="E36" s="25" t="s">
        <v>209</v>
      </c>
      <c r="F36" s="25" t="s">
        <v>124</v>
      </c>
      <c r="G36" s="25">
        <v>2000</v>
      </c>
      <c r="H36" s="25">
        <v>4106</v>
      </c>
      <c r="I36" s="25" t="s">
        <v>47</v>
      </c>
      <c r="J36" s="25">
        <v>21707133</v>
      </c>
      <c r="K36" s="25" t="s">
        <v>48</v>
      </c>
      <c r="L36" s="25">
        <v>2</v>
      </c>
      <c r="M36" s="25" t="s">
        <v>49</v>
      </c>
      <c r="N36" s="25" t="s">
        <v>51</v>
      </c>
      <c r="O36" s="25" t="s">
        <v>47</v>
      </c>
      <c r="P36" s="25">
        <v>21707132</v>
      </c>
      <c r="Q36" s="25" t="s">
        <v>50</v>
      </c>
      <c r="R36" s="25">
        <v>1</v>
      </c>
      <c r="S36" s="25" t="s">
        <v>49</v>
      </c>
      <c r="T36" s="25" t="s">
        <v>51</v>
      </c>
      <c r="U36" s="25" t="s">
        <v>125</v>
      </c>
      <c r="V36" s="25">
        <v>3838854</v>
      </c>
      <c r="W36" s="25" t="s">
        <v>126</v>
      </c>
      <c r="X36" s="25">
        <v>2</v>
      </c>
      <c r="Y36" s="25" t="s">
        <v>49</v>
      </c>
      <c r="Z36" s="25" t="s">
        <v>51</v>
      </c>
      <c r="AA36" s="25" t="s">
        <v>47</v>
      </c>
      <c r="AB36" s="25">
        <v>3838852</v>
      </c>
      <c r="AC36" s="25" t="s">
        <v>128</v>
      </c>
      <c r="AD36" s="25">
        <v>2</v>
      </c>
      <c r="AE36" s="25" t="s">
        <v>49</v>
      </c>
      <c r="AF36" s="25" t="s">
        <v>51</v>
      </c>
      <c r="AG36" s="25" t="s">
        <v>47</v>
      </c>
      <c r="AH36" s="25">
        <v>23068344</v>
      </c>
      <c r="AI36" s="25" t="s">
        <v>127</v>
      </c>
      <c r="AJ36" s="25">
        <v>57</v>
      </c>
      <c r="AK36" s="25" t="s">
        <v>53</v>
      </c>
      <c r="AL36" s="25" t="str">
        <f>""</f>
        <v/>
      </c>
      <c r="AM36" s="25" t="s">
        <v>1</v>
      </c>
      <c r="AN36" s="34">
        <v>20002050</v>
      </c>
      <c r="AO36" s="25" t="s">
        <v>136</v>
      </c>
      <c r="AP36" s="25">
        <v>1</v>
      </c>
      <c r="AQ36" s="25" t="s">
        <v>49</v>
      </c>
      <c r="AR36" s="25" t="s">
        <v>51</v>
      </c>
      <c r="AS36" s="35" t="str">
        <f>""</f>
        <v/>
      </c>
      <c r="AT36" s="35" t="str">
        <f>""</f>
        <v/>
      </c>
      <c r="AU36" s="35" t="str">
        <f>""</f>
        <v/>
      </c>
      <c r="AV36" s="35" t="str">
        <f>""</f>
        <v/>
      </c>
      <c r="AW36" s="35" t="str">
        <f>""</f>
        <v/>
      </c>
      <c r="AX36" s="35" t="str">
        <f>""</f>
        <v/>
      </c>
      <c r="AY36" s="35" t="str">
        <f>""</f>
        <v/>
      </c>
      <c r="AZ36" s="35" t="str">
        <f>""</f>
        <v/>
      </c>
      <c r="BA36" s="35" t="str">
        <f>""</f>
        <v/>
      </c>
      <c r="BB36" s="35" t="str">
        <f>""</f>
        <v/>
      </c>
      <c r="BC36" s="35" t="str">
        <f>""</f>
        <v/>
      </c>
      <c r="BD36" s="35" t="str">
        <f>""</f>
        <v/>
      </c>
      <c r="BE36" s="36"/>
      <c r="BF36" s="36"/>
      <c r="BG36" s="25" t="s">
        <v>276</v>
      </c>
    </row>
    <row r="37" spans="1:59" x14ac:dyDescent="0.25">
      <c r="A37" s="25" t="str">
        <f t="shared" si="4"/>
        <v>PE420004101</v>
      </c>
      <c r="B37" s="35" t="str">
        <f>""</f>
        <v/>
      </c>
      <c r="C37" s="25" t="s">
        <v>130</v>
      </c>
      <c r="D37" s="72" t="str">
        <f t="shared" si="5"/>
        <v>PE420004101</v>
      </c>
      <c r="E37" s="25" t="s">
        <v>204</v>
      </c>
      <c r="F37" s="25" t="s">
        <v>124</v>
      </c>
      <c r="G37" s="25">
        <v>2000</v>
      </c>
      <c r="H37" s="25">
        <v>4101</v>
      </c>
      <c r="I37" s="25" t="s">
        <v>125</v>
      </c>
      <c r="J37" s="25">
        <v>21492771</v>
      </c>
      <c r="K37" s="25" t="s">
        <v>52</v>
      </c>
      <c r="L37" s="25">
        <v>1</v>
      </c>
      <c r="M37" s="25" t="s">
        <v>49</v>
      </c>
      <c r="N37" s="25" t="s">
        <v>51</v>
      </c>
      <c r="O37" s="25" t="s">
        <v>47</v>
      </c>
      <c r="P37" s="25">
        <v>3838852</v>
      </c>
      <c r="Q37" s="25" t="s">
        <v>128</v>
      </c>
      <c r="R37" s="25">
        <v>1</v>
      </c>
      <c r="S37" s="25" t="s">
        <v>49</v>
      </c>
      <c r="T37" s="25" t="s">
        <v>51</v>
      </c>
      <c r="U37" s="25" t="s">
        <v>47</v>
      </c>
      <c r="V37" s="25">
        <v>3831236</v>
      </c>
      <c r="W37" s="25" t="s">
        <v>50</v>
      </c>
      <c r="X37" s="25">
        <v>1</v>
      </c>
      <c r="Y37" s="25" t="s">
        <v>49</v>
      </c>
      <c r="Z37" s="25" t="s">
        <v>51</v>
      </c>
      <c r="AA37" s="25" t="s">
        <v>47</v>
      </c>
      <c r="AB37" s="25">
        <v>23068344</v>
      </c>
      <c r="AC37" s="25" t="s">
        <v>127</v>
      </c>
      <c r="AD37" s="25">
        <v>19</v>
      </c>
      <c r="AE37" s="25" t="s">
        <v>53</v>
      </c>
      <c r="AF37" s="25" t="str">
        <f>""</f>
        <v/>
      </c>
      <c r="AG37" s="25" t="s">
        <v>1</v>
      </c>
      <c r="AH37" s="25">
        <v>20002050</v>
      </c>
      <c r="AI37" s="25" t="s">
        <v>136</v>
      </c>
      <c r="AJ37" s="25">
        <v>1</v>
      </c>
      <c r="AK37" s="25" t="s">
        <v>49</v>
      </c>
      <c r="AL37" s="25" t="s">
        <v>51</v>
      </c>
      <c r="AM37" s="25" t="str">
        <f>""</f>
        <v/>
      </c>
      <c r="AN37" s="25" t="str">
        <f>""</f>
        <v/>
      </c>
      <c r="AO37" s="25" t="str">
        <f>""</f>
        <v/>
      </c>
      <c r="AP37" s="25" t="str">
        <f>""</f>
        <v/>
      </c>
      <c r="AQ37" s="25" t="str">
        <f>""</f>
        <v/>
      </c>
      <c r="AR37" s="25" t="str">
        <f>""</f>
        <v/>
      </c>
      <c r="AS37" s="25" t="str">
        <f>""</f>
        <v/>
      </c>
      <c r="AT37" s="25" t="str">
        <f>""</f>
        <v/>
      </c>
      <c r="AU37" s="25" t="str">
        <f>""</f>
        <v/>
      </c>
      <c r="AV37" s="25" t="str">
        <f>""</f>
        <v/>
      </c>
      <c r="AW37" s="25" t="str">
        <f>""</f>
        <v/>
      </c>
      <c r="AX37" s="35" t="str">
        <f>""</f>
        <v/>
      </c>
      <c r="AY37" s="25" t="str">
        <f>""</f>
        <v/>
      </c>
      <c r="AZ37" s="25" t="str">
        <f>""</f>
        <v/>
      </c>
      <c r="BA37" s="25" t="str">
        <f>""</f>
        <v/>
      </c>
      <c r="BB37" s="25" t="str">
        <f>""</f>
        <v/>
      </c>
      <c r="BC37" s="25" t="str">
        <f>""</f>
        <v/>
      </c>
      <c r="BD37" s="25" t="str">
        <f>""</f>
        <v/>
      </c>
      <c r="BE37" s="36"/>
      <c r="BF37" s="36"/>
      <c r="BG37" s="25" t="s">
        <v>276</v>
      </c>
    </row>
    <row r="38" spans="1:59" x14ac:dyDescent="0.25">
      <c r="A38" s="25" t="str">
        <f t="shared" si="4"/>
        <v>PE420004103</v>
      </c>
      <c r="B38" s="35" t="str">
        <f>""</f>
        <v/>
      </c>
      <c r="C38" s="25" t="s">
        <v>131</v>
      </c>
      <c r="D38" s="71" t="str">
        <f t="shared" si="5"/>
        <v>PE420004103</v>
      </c>
      <c r="E38" s="25" t="s">
        <v>207</v>
      </c>
      <c r="F38" s="25" t="s">
        <v>124</v>
      </c>
      <c r="G38" s="25">
        <v>2000</v>
      </c>
      <c r="H38" s="25">
        <v>4103</v>
      </c>
      <c r="I38" s="25" t="s">
        <v>47</v>
      </c>
      <c r="J38" s="25">
        <v>21707133</v>
      </c>
      <c r="K38" s="25" t="s">
        <v>48</v>
      </c>
      <c r="L38" s="25">
        <v>2</v>
      </c>
      <c r="M38" s="25" t="s">
        <v>49</v>
      </c>
      <c r="N38" s="25" t="s">
        <v>51</v>
      </c>
      <c r="O38" s="25" t="s">
        <v>47</v>
      </c>
      <c r="P38" s="25">
        <v>21707132</v>
      </c>
      <c r="Q38" s="25" t="s">
        <v>50</v>
      </c>
      <c r="R38" s="25">
        <v>1</v>
      </c>
      <c r="S38" s="25" t="s">
        <v>49</v>
      </c>
      <c r="T38" s="25" t="s">
        <v>51</v>
      </c>
      <c r="U38" s="25" t="s">
        <v>47</v>
      </c>
      <c r="V38" s="25">
        <v>23068343</v>
      </c>
      <c r="W38" s="25" t="s">
        <v>344</v>
      </c>
      <c r="X38" s="25">
        <v>3</v>
      </c>
      <c r="Y38" s="25" t="s">
        <v>65</v>
      </c>
      <c r="Z38" s="25" t="s">
        <v>51</v>
      </c>
      <c r="AA38" s="25" t="s">
        <v>47</v>
      </c>
      <c r="AB38" s="25">
        <v>3838852</v>
      </c>
      <c r="AC38" s="25" t="s">
        <v>128</v>
      </c>
      <c r="AD38" s="25">
        <v>2</v>
      </c>
      <c r="AE38" s="25" t="s">
        <v>49</v>
      </c>
      <c r="AF38" s="25" t="s">
        <v>51</v>
      </c>
      <c r="AG38" s="25" t="s">
        <v>47</v>
      </c>
      <c r="AH38" s="25">
        <v>23068344</v>
      </c>
      <c r="AI38" s="25" t="s">
        <v>127</v>
      </c>
      <c r="AJ38" s="25">
        <v>38</v>
      </c>
      <c r="AK38" s="25" t="s">
        <v>53</v>
      </c>
      <c r="AL38" s="25" t="s">
        <v>66</v>
      </c>
      <c r="AM38" s="25" t="s">
        <v>1</v>
      </c>
      <c r="AN38" s="34">
        <v>20002050</v>
      </c>
      <c r="AO38" s="25" t="s">
        <v>136</v>
      </c>
      <c r="AP38" s="25">
        <v>1</v>
      </c>
      <c r="AQ38" s="25" t="s">
        <v>49</v>
      </c>
      <c r="AR38" s="25" t="s">
        <v>51</v>
      </c>
      <c r="AS38" s="25" t="str">
        <f>""</f>
        <v/>
      </c>
      <c r="AT38" s="25" t="str">
        <f>""</f>
        <v/>
      </c>
      <c r="AU38" s="25" t="str">
        <f>""</f>
        <v/>
      </c>
      <c r="AV38" s="25" t="str">
        <f>""</f>
        <v/>
      </c>
      <c r="AW38" s="25" t="str">
        <f>""</f>
        <v/>
      </c>
      <c r="AX38" s="35" t="str">
        <f>""</f>
        <v/>
      </c>
      <c r="AY38" s="25" t="str">
        <f>""</f>
        <v/>
      </c>
      <c r="AZ38" s="25" t="str">
        <f>""</f>
        <v/>
      </c>
      <c r="BA38" s="25" t="str">
        <f>""</f>
        <v/>
      </c>
      <c r="BB38" s="25" t="str">
        <f>""</f>
        <v/>
      </c>
      <c r="BC38" s="25" t="str">
        <f>""</f>
        <v/>
      </c>
      <c r="BD38" s="25" t="str">
        <f>""</f>
        <v/>
      </c>
      <c r="BE38" s="36"/>
      <c r="BF38" s="36"/>
      <c r="BG38" s="25" t="s">
        <v>276</v>
      </c>
    </row>
    <row r="39" spans="1:59" x14ac:dyDescent="0.25">
      <c r="A39" s="25" t="str">
        <f t="shared" si="4"/>
        <v>PE620001971</v>
      </c>
      <c r="B39" s="35" t="str">
        <f>""</f>
        <v/>
      </c>
      <c r="C39" s="25" t="str">
        <f>""</f>
        <v/>
      </c>
      <c r="D39" s="25" t="str">
        <f>CONCATENATE(F39,G39,H39)</f>
        <v>PE620001971</v>
      </c>
      <c r="E39" s="25" t="s">
        <v>341</v>
      </c>
      <c r="F39" s="25" t="s">
        <v>68</v>
      </c>
      <c r="G39" s="25">
        <v>2000</v>
      </c>
      <c r="H39" s="25">
        <v>1971</v>
      </c>
      <c r="I39" s="25" t="s">
        <v>69</v>
      </c>
      <c r="J39" s="25">
        <v>21707136</v>
      </c>
      <c r="K39" s="25" t="s">
        <v>50</v>
      </c>
      <c r="L39" s="25">
        <v>2</v>
      </c>
      <c r="M39" s="25" t="s">
        <v>49</v>
      </c>
      <c r="N39" s="25" t="s">
        <v>51</v>
      </c>
      <c r="O39" s="25" t="s">
        <v>69</v>
      </c>
      <c r="P39" s="25">
        <v>21707135</v>
      </c>
      <c r="Q39" s="25" t="s">
        <v>50</v>
      </c>
      <c r="R39" s="25">
        <v>1</v>
      </c>
      <c r="S39" s="25" t="s">
        <v>49</v>
      </c>
      <c r="T39" s="25" t="s">
        <v>51</v>
      </c>
      <c r="U39" s="25" t="s">
        <v>69</v>
      </c>
      <c r="V39" s="25">
        <v>20972295</v>
      </c>
      <c r="W39" s="25" t="s">
        <v>52</v>
      </c>
      <c r="X39" s="25">
        <v>1</v>
      </c>
      <c r="Y39" s="25" t="s">
        <v>49</v>
      </c>
      <c r="Z39" s="25" t="s">
        <v>51</v>
      </c>
      <c r="AA39" s="25" t="s">
        <v>69</v>
      </c>
      <c r="AB39" s="25" t="s">
        <v>70</v>
      </c>
      <c r="AC39" s="25" t="s">
        <v>71</v>
      </c>
      <c r="AD39" s="25">
        <v>1</v>
      </c>
      <c r="AE39" s="25" t="s">
        <v>49</v>
      </c>
      <c r="AF39" s="25" t="s">
        <v>51</v>
      </c>
      <c r="AG39" s="25" t="s">
        <v>68</v>
      </c>
      <c r="AH39" s="25">
        <v>2006050</v>
      </c>
      <c r="AI39" s="25" t="s">
        <v>351</v>
      </c>
      <c r="AJ39" s="25">
        <v>1</v>
      </c>
      <c r="AK39" s="25" t="s">
        <v>49</v>
      </c>
      <c r="AL39" s="25" t="s">
        <v>51</v>
      </c>
      <c r="AM39" s="25" t="str">
        <f>""</f>
        <v/>
      </c>
      <c r="AN39" s="34" t="str">
        <f>""</f>
        <v/>
      </c>
      <c r="AO39" s="25" t="str">
        <f>""</f>
        <v/>
      </c>
      <c r="AP39" s="25" t="str">
        <f>""</f>
        <v/>
      </c>
      <c r="AQ39" s="25" t="str">
        <f>""</f>
        <v/>
      </c>
      <c r="AR39" s="25" t="str">
        <f>""</f>
        <v/>
      </c>
      <c r="AS39" s="25" t="str">
        <f>""</f>
        <v/>
      </c>
      <c r="AT39" s="25" t="str">
        <f>""</f>
        <v/>
      </c>
      <c r="AU39" s="25" t="str">
        <f>""</f>
        <v/>
      </c>
      <c r="AV39" s="25" t="str">
        <f>""</f>
        <v/>
      </c>
      <c r="AW39" s="25" t="str">
        <f>""</f>
        <v/>
      </c>
      <c r="AX39" s="35" t="str">
        <f>""</f>
        <v/>
      </c>
      <c r="AY39" s="25" t="str">
        <f>""</f>
        <v/>
      </c>
      <c r="AZ39" s="25" t="str">
        <f>""</f>
        <v/>
      </c>
      <c r="BA39" s="25" t="str">
        <f>""</f>
        <v/>
      </c>
      <c r="BB39" s="25" t="str">
        <f>""</f>
        <v/>
      </c>
      <c r="BC39" s="25" t="str">
        <f>""</f>
        <v/>
      </c>
      <c r="BD39" s="25" t="str">
        <f>""</f>
        <v/>
      </c>
      <c r="BE39" s="36"/>
      <c r="BF39" s="36"/>
      <c r="BG39" s="25" t="s">
        <v>271</v>
      </c>
    </row>
    <row r="40" spans="1:59" x14ac:dyDescent="0.25">
      <c r="A40" s="25" t="str">
        <f t="shared" si="4"/>
        <v>PE620006184</v>
      </c>
      <c r="B40" s="35" t="str">
        <f>""</f>
        <v/>
      </c>
      <c r="C40" s="25" t="s">
        <v>96</v>
      </c>
      <c r="D40" s="25" t="str">
        <f t="shared" ref="D40:D43" si="6">CONCATENATE(F40,G40,H40)</f>
        <v>PE620006184</v>
      </c>
      <c r="E40" s="25" t="s">
        <v>212</v>
      </c>
      <c r="F40" s="25" t="s">
        <v>68</v>
      </c>
      <c r="G40" s="25">
        <v>2000</v>
      </c>
      <c r="H40" s="25">
        <v>6184</v>
      </c>
      <c r="I40" s="25" t="s">
        <v>69</v>
      </c>
      <c r="J40" s="25">
        <v>21939298</v>
      </c>
      <c r="K40" s="25" t="s">
        <v>50</v>
      </c>
      <c r="L40" s="25">
        <v>2</v>
      </c>
      <c r="M40" s="25" t="s">
        <v>49</v>
      </c>
      <c r="N40" s="25" t="s">
        <v>51</v>
      </c>
      <c r="O40" s="25" t="s">
        <v>69</v>
      </c>
      <c r="P40" s="25">
        <v>25502421</v>
      </c>
      <c r="Q40" s="25" t="s">
        <v>350</v>
      </c>
      <c r="R40" s="25">
        <v>1</v>
      </c>
      <c r="S40" s="25" t="s">
        <v>49</v>
      </c>
      <c r="T40" s="25" t="s">
        <v>51</v>
      </c>
      <c r="U40" s="25" t="s">
        <v>68</v>
      </c>
      <c r="V40" s="25">
        <v>2006050</v>
      </c>
      <c r="W40" s="25" t="s">
        <v>351</v>
      </c>
      <c r="X40" s="25">
        <v>1</v>
      </c>
      <c r="Y40" s="25" t="s">
        <v>49</v>
      </c>
      <c r="Z40" s="25" t="s">
        <v>51</v>
      </c>
      <c r="AA40" s="25" t="s">
        <v>69</v>
      </c>
      <c r="AB40" s="25" t="s">
        <v>72</v>
      </c>
      <c r="AC40" s="25" t="s">
        <v>73</v>
      </c>
      <c r="AD40" s="25">
        <v>38</v>
      </c>
      <c r="AE40" s="25" t="s">
        <v>53</v>
      </c>
      <c r="AF40" s="25" t="str">
        <f>""</f>
        <v/>
      </c>
      <c r="AG40" s="25" t="str">
        <f>""</f>
        <v/>
      </c>
      <c r="AH40" s="25" t="str">
        <f>""</f>
        <v/>
      </c>
      <c r="AI40" s="25" t="str">
        <f>""</f>
        <v/>
      </c>
      <c r="AJ40" s="25" t="str">
        <f>""</f>
        <v/>
      </c>
      <c r="AK40" s="25" t="str">
        <f>""</f>
        <v/>
      </c>
      <c r="AL40" s="25" t="str">
        <f>""</f>
        <v/>
      </c>
      <c r="AM40" s="25" t="str">
        <f>""</f>
        <v/>
      </c>
      <c r="AN40" s="25" t="str">
        <f>""</f>
        <v/>
      </c>
      <c r="AO40" s="25" t="str">
        <f>""</f>
        <v/>
      </c>
      <c r="AP40" s="25" t="str">
        <f>""</f>
        <v/>
      </c>
      <c r="AQ40" s="25" t="str">
        <f>""</f>
        <v/>
      </c>
      <c r="AR40" s="25" t="str">
        <f>""</f>
        <v/>
      </c>
      <c r="AS40" s="25" t="str">
        <f>""</f>
        <v/>
      </c>
      <c r="AT40" s="25" t="str">
        <f>""</f>
        <v/>
      </c>
      <c r="AU40" s="25" t="str">
        <f>""</f>
        <v/>
      </c>
      <c r="AV40" s="25" t="str">
        <f>""</f>
        <v/>
      </c>
      <c r="AW40" s="25" t="str">
        <f>""</f>
        <v/>
      </c>
      <c r="AX40" s="25" t="str">
        <f>""</f>
        <v/>
      </c>
      <c r="AY40" s="25" t="str">
        <f>""</f>
        <v/>
      </c>
      <c r="AZ40" s="25" t="str">
        <f>""</f>
        <v/>
      </c>
      <c r="BA40" s="25" t="str">
        <f>""</f>
        <v/>
      </c>
      <c r="BB40" s="25" t="str">
        <f>""</f>
        <v/>
      </c>
      <c r="BC40" s="25" t="str">
        <f>""</f>
        <v/>
      </c>
      <c r="BD40" s="25" t="str">
        <f>""</f>
        <v/>
      </c>
      <c r="BE40" s="36"/>
      <c r="BF40" s="36"/>
      <c r="BG40" s="25" t="s">
        <v>272</v>
      </c>
    </row>
    <row r="41" spans="1:59" x14ac:dyDescent="0.25">
      <c r="A41" s="25" t="str">
        <f t="shared" si="4"/>
        <v>PE620006186</v>
      </c>
      <c r="B41" s="35" t="str">
        <f>""</f>
        <v/>
      </c>
      <c r="C41" s="25" t="s">
        <v>89</v>
      </c>
      <c r="D41" s="25" t="str">
        <f>CONCATENATE(F41,G41,H41)</f>
        <v>PE620006186</v>
      </c>
      <c r="E41" s="25" t="s">
        <v>67</v>
      </c>
      <c r="F41" s="25" t="s">
        <v>68</v>
      </c>
      <c r="G41" s="25">
        <v>2000</v>
      </c>
      <c r="H41" s="25">
        <v>6186</v>
      </c>
      <c r="I41" s="25" t="s">
        <v>69</v>
      </c>
      <c r="J41" s="25">
        <v>21707136</v>
      </c>
      <c r="K41" s="25" t="s">
        <v>50</v>
      </c>
      <c r="L41" s="25">
        <v>2</v>
      </c>
      <c r="M41" s="25" t="s">
        <v>49</v>
      </c>
      <c r="N41" s="25" t="s">
        <v>51</v>
      </c>
      <c r="O41" s="25" t="s">
        <v>69</v>
      </c>
      <c r="P41" s="25">
        <v>21707135</v>
      </c>
      <c r="Q41" s="25" t="s">
        <v>50</v>
      </c>
      <c r="R41" s="25">
        <v>1</v>
      </c>
      <c r="S41" s="25" t="s">
        <v>49</v>
      </c>
      <c r="T41" s="25" t="s">
        <v>51</v>
      </c>
      <c r="U41" s="25" t="s">
        <v>69</v>
      </c>
      <c r="V41" s="25">
        <v>20972295</v>
      </c>
      <c r="W41" s="25" t="s">
        <v>52</v>
      </c>
      <c r="X41" s="25">
        <v>1</v>
      </c>
      <c r="Y41" s="25" t="s">
        <v>49</v>
      </c>
      <c r="Z41" s="25" t="s">
        <v>51</v>
      </c>
      <c r="AA41" s="25" t="s">
        <v>69</v>
      </c>
      <c r="AB41" s="25" t="s">
        <v>70</v>
      </c>
      <c r="AC41" s="25" t="s">
        <v>71</v>
      </c>
      <c r="AD41" s="25">
        <v>1</v>
      </c>
      <c r="AE41" s="25" t="s">
        <v>49</v>
      </c>
      <c r="AF41" s="25" t="s">
        <v>51</v>
      </c>
      <c r="AG41" s="25" t="s">
        <v>68</v>
      </c>
      <c r="AH41" s="25">
        <v>2006050</v>
      </c>
      <c r="AI41" s="25" t="s">
        <v>351</v>
      </c>
      <c r="AJ41" s="25">
        <v>1</v>
      </c>
      <c r="AK41" s="25" t="s">
        <v>49</v>
      </c>
      <c r="AL41" s="25" t="s">
        <v>51</v>
      </c>
      <c r="AM41" s="25" t="s">
        <v>69</v>
      </c>
      <c r="AN41" s="34" t="s">
        <v>72</v>
      </c>
      <c r="AO41" s="25" t="s">
        <v>73</v>
      </c>
      <c r="AP41" s="25">
        <v>38</v>
      </c>
      <c r="AQ41" s="25" t="s">
        <v>53</v>
      </c>
      <c r="AR41" s="25" t="str">
        <f>""</f>
        <v/>
      </c>
      <c r="AS41" s="25" t="str">
        <f>""</f>
        <v/>
      </c>
      <c r="AT41" s="25" t="str">
        <f>""</f>
        <v/>
      </c>
      <c r="AU41" s="25" t="str">
        <f>""</f>
        <v/>
      </c>
      <c r="AV41" s="25" t="str">
        <f>""</f>
        <v/>
      </c>
      <c r="AW41" s="25" t="str">
        <f>""</f>
        <v/>
      </c>
      <c r="AX41" s="35" t="str">
        <f>""</f>
        <v/>
      </c>
      <c r="AY41" s="25" t="str">
        <f>""</f>
        <v/>
      </c>
      <c r="AZ41" s="25" t="str">
        <f>""</f>
        <v/>
      </c>
      <c r="BA41" s="25" t="str">
        <f>""</f>
        <v/>
      </c>
      <c r="BB41" s="25" t="str">
        <f>""</f>
        <v/>
      </c>
      <c r="BC41" s="25" t="str">
        <f>""</f>
        <v/>
      </c>
      <c r="BD41" s="25" t="str">
        <f>""</f>
        <v/>
      </c>
      <c r="BE41" s="36"/>
      <c r="BF41" s="36"/>
      <c r="BG41" s="25" t="s">
        <v>272</v>
      </c>
    </row>
    <row r="42" spans="1:59" x14ac:dyDescent="0.25">
      <c r="A42" s="25" t="str">
        <f t="shared" si="4"/>
        <v>PE620006188</v>
      </c>
      <c r="B42" s="35" t="str">
        <f>""</f>
        <v/>
      </c>
      <c r="C42" s="25" t="s">
        <v>97</v>
      </c>
      <c r="D42" s="25" t="str">
        <f t="shared" si="6"/>
        <v>PE620006188</v>
      </c>
      <c r="E42" s="25" t="s">
        <v>215</v>
      </c>
      <c r="F42" s="25" t="s">
        <v>68</v>
      </c>
      <c r="G42" s="25">
        <v>2000</v>
      </c>
      <c r="H42" s="25">
        <v>6188</v>
      </c>
      <c r="I42" s="25" t="s">
        <v>69</v>
      </c>
      <c r="J42" s="25">
        <v>21707136</v>
      </c>
      <c r="K42" s="25" t="s">
        <v>50</v>
      </c>
      <c r="L42" s="25">
        <v>10</v>
      </c>
      <c r="M42" s="25" t="s">
        <v>49</v>
      </c>
      <c r="N42" s="25" t="s">
        <v>51</v>
      </c>
      <c r="O42" s="25" t="s">
        <v>69</v>
      </c>
      <c r="P42" s="25">
        <v>21707135</v>
      </c>
      <c r="Q42" s="25" t="s">
        <v>50</v>
      </c>
      <c r="R42" s="25">
        <v>5</v>
      </c>
      <c r="S42" s="25" t="s">
        <v>49</v>
      </c>
      <c r="T42" s="25" t="s">
        <v>51</v>
      </c>
      <c r="U42" s="25" t="s">
        <v>69</v>
      </c>
      <c r="V42" s="25">
        <v>20972295</v>
      </c>
      <c r="W42" s="25" t="s">
        <v>52</v>
      </c>
      <c r="X42" s="25">
        <v>5</v>
      </c>
      <c r="Y42" s="25" t="s">
        <v>49</v>
      </c>
      <c r="Z42" s="25" t="s">
        <v>51</v>
      </c>
      <c r="AA42" s="25" t="s">
        <v>69</v>
      </c>
      <c r="AB42" s="25" t="s">
        <v>70</v>
      </c>
      <c r="AC42" s="25" t="s">
        <v>71</v>
      </c>
      <c r="AD42" s="25">
        <v>5</v>
      </c>
      <c r="AE42" s="25" t="s">
        <v>49</v>
      </c>
      <c r="AF42" s="25" t="s">
        <v>51</v>
      </c>
      <c r="AG42" s="25" t="s">
        <v>68</v>
      </c>
      <c r="AH42" s="25">
        <v>2006050</v>
      </c>
      <c r="AI42" s="25" t="s">
        <v>351</v>
      </c>
      <c r="AJ42" s="25">
        <v>5</v>
      </c>
      <c r="AK42" s="25" t="s">
        <v>49</v>
      </c>
      <c r="AL42" s="25" t="s">
        <v>51</v>
      </c>
      <c r="AM42" s="25" t="s">
        <v>69</v>
      </c>
      <c r="AN42" s="34" t="s">
        <v>91</v>
      </c>
      <c r="AO42" s="25" t="s">
        <v>73</v>
      </c>
      <c r="AP42" s="25">
        <v>208</v>
      </c>
      <c r="AQ42" s="25" t="s">
        <v>53</v>
      </c>
      <c r="AR42" s="25" t="str">
        <f>""</f>
        <v/>
      </c>
      <c r="AS42" s="25" t="str">
        <f>""</f>
        <v/>
      </c>
      <c r="AT42" s="25" t="str">
        <f>""</f>
        <v/>
      </c>
      <c r="AU42" s="25" t="str">
        <f>""</f>
        <v/>
      </c>
      <c r="AV42" s="25" t="str">
        <f>""</f>
        <v/>
      </c>
      <c r="AW42" s="25" t="str">
        <f>""</f>
        <v/>
      </c>
      <c r="AX42" s="35" t="str">
        <f>""</f>
        <v/>
      </c>
      <c r="AY42" s="25" t="str">
        <f>""</f>
        <v/>
      </c>
      <c r="AZ42" s="25" t="str">
        <f>""</f>
        <v/>
      </c>
      <c r="BA42" s="25" t="str">
        <f>""</f>
        <v/>
      </c>
      <c r="BB42" s="25" t="str">
        <f>""</f>
        <v/>
      </c>
      <c r="BC42" s="25" t="str">
        <f>""</f>
        <v/>
      </c>
      <c r="BD42" s="25" t="str">
        <f>""</f>
        <v/>
      </c>
      <c r="BE42" s="36"/>
      <c r="BF42" s="36"/>
      <c r="BG42" s="25" t="s">
        <v>272</v>
      </c>
    </row>
    <row r="43" spans="1:59" ht="14.4" thickBot="1" x14ac:dyDescent="0.3">
      <c r="A43" s="24" t="str">
        <f t="shared" si="4"/>
        <v>PE720007101</v>
      </c>
      <c r="B43" s="35" t="str">
        <f>""</f>
        <v/>
      </c>
      <c r="C43" s="46" t="str">
        <f>""</f>
        <v/>
      </c>
      <c r="D43" s="24" t="str">
        <f t="shared" si="6"/>
        <v>PE720007101</v>
      </c>
      <c r="E43" s="24" t="s">
        <v>217</v>
      </c>
      <c r="F43" s="24" t="s">
        <v>118</v>
      </c>
      <c r="G43" s="24">
        <v>2000</v>
      </c>
      <c r="H43" s="24">
        <v>7101</v>
      </c>
      <c r="I43" s="24" t="s">
        <v>119</v>
      </c>
      <c r="J43" s="24">
        <v>5223476572</v>
      </c>
      <c r="K43" s="24" t="s">
        <v>50</v>
      </c>
      <c r="L43" s="24">
        <v>1</v>
      </c>
      <c r="M43" s="24" t="s">
        <v>49</v>
      </c>
      <c r="N43" s="24" t="s">
        <v>51</v>
      </c>
      <c r="O43" s="24" t="s">
        <v>119</v>
      </c>
      <c r="P43" s="24" t="s">
        <v>120</v>
      </c>
      <c r="Q43" s="24" t="s">
        <v>58</v>
      </c>
      <c r="R43" s="24">
        <v>1</v>
      </c>
      <c r="S43" s="24" t="s">
        <v>49</v>
      </c>
      <c r="T43" s="24" t="s">
        <v>51</v>
      </c>
      <c r="U43" s="24" t="s">
        <v>119</v>
      </c>
      <c r="V43" s="24">
        <v>5222677134</v>
      </c>
      <c r="W43" s="24" t="s">
        <v>63</v>
      </c>
      <c r="X43" s="24">
        <v>1</v>
      </c>
      <c r="Y43" s="24" t="s">
        <v>49</v>
      </c>
      <c r="Z43" s="24" t="s">
        <v>51</v>
      </c>
      <c r="AA43" s="24" t="str">
        <f>""</f>
        <v/>
      </c>
      <c r="AB43" s="24" t="str">
        <f>""</f>
        <v/>
      </c>
      <c r="AC43" s="24" t="str">
        <f>""</f>
        <v/>
      </c>
      <c r="AD43" s="24" t="str">
        <f>""</f>
        <v/>
      </c>
      <c r="AE43" s="24" t="str">
        <f>""</f>
        <v/>
      </c>
      <c r="AF43" s="24" t="str">
        <f>""</f>
        <v/>
      </c>
      <c r="AG43" s="24" t="str">
        <f>""</f>
        <v/>
      </c>
      <c r="AH43" s="24" t="str">
        <f>""</f>
        <v/>
      </c>
      <c r="AI43" s="24" t="str">
        <f>""</f>
        <v/>
      </c>
      <c r="AJ43" s="24" t="str">
        <f>""</f>
        <v/>
      </c>
      <c r="AK43" s="24" t="str">
        <f>""</f>
        <v/>
      </c>
      <c r="AL43" s="24" t="str">
        <f>""</f>
        <v/>
      </c>
      <c r="AM43" s="24" t="str">
        <f>""</f>
        <v/>
      </c>
      <c r="AN43" s="47" t="str">
        <f>""</f>
        <v/>
      </c>
      <c r="AO43" s="24" t="str">
        <f>""</f>
        <v/>
      </c>
      <c r="AP43" s="24" t="str">
        <f>""</f>
        <v/>
      </c>
      <c r="AQ43" s="24" t="str">
        <f>""</f>
        <v/>
      </c>
      <c r="AR43" s="24" t="str">
        <f>""</f>
        <v/>
      </c>
      <c r="AS43" s="24" t="str">
        <f>""</f>
        <v/>
      </c>
      <c r="AT43" s="24" t="str">
        <f>""</f>
        <v/>
      </c>
      <c r="AU43" s="24" t="str">
        <f>""</f>
        <v/>
      </c>
      <c r="AV43" s="24" t="str">
        <f>""</f>
        <v/>
      </c>
      <c r="AW43" s="24" t="str">
        <f>""</f>
        <v/>
      </c>
      <c r="AX43" s="24" t="str">
        <f>""</f>
        <v/>
      </c>
      <c r="AY43" s="24" t="str">
        <f>""</f>
        <v/>
      </c>
      <c r="AZ43" s="24" t="str">
        <f>""</f>
        <v/>
      </c>
      <c r="BA43" s="24" t="str">
        <f>""</f>
        <v/>
      </c>
      <c r="BB43" s="24" t="str">
        <f>""</f>
        <v/>
      </c>
      <c r="BC43" s="24" t="str">
        <f>""</f>
        <v/>
      </c>
      <c r="BD43" s="24" t="str">
        <f>""</f>
        <v/>
      </c>
      <c r="BE43" s="48"/>
      <c r="BF43" s="48"/>
      <c r="BG43" s="24" t="s">
        <v>275</v>
      </c>
    </row>
    <row r="44" spans="1:59" x14ac:dyDescent="0.25">
      <c r="A44" s="35" t="str">
        <f t="shared" si="4"/>
        <v>PE220002051CA</v>
      </c>
      <c r="B44" s="49" t="s">
        <v>335</v>
      </c>
      <c r="C44" s="33" t="s">
        <v>293</v>
      </c>
      <c r="D44" s="35" t="s">
        <v>281</v>
      </c>
      <c r="E44" s="35" t="s">
        <v>108</v>
      </c>
      <c r="F44" s="35" t="s">
        <v>1</v>
      </c>
      <c r="G44" s="35">
        <v>2000</v>
      </c>
      <c r="H44" s="35">
        <v>2051</v>
      </c>
      <c r="I44" s="35" t="s">
        <v>47</v>
      </c>
      <c r="J44" s="35">
        <v>21707133</v>
      </c>
      <c r="K44" s="35" t="s">
        <v>48</v>
      </c>
      <c r="L44" s="35">
        <v>2</v>
      </c>
      <c r="M44" s="35" t="s">
        <v>49</v>
      </c>
      <c r="N44" s="25" t="str">
        <f>""</f>
        <v/>
      </c>
      <c r="O44" s="35" t="s">
        <v>47</v>
      </c>
      <c r="P44" s="35">
        <v>21707132</v>
      </c>
      <c r="Q44" s="35" t="s">
        <v>50</v>
      </c>
      <c r="R44" s="35">
        <v>1</v>
      </c>
      <c r="S44" s="35" t="s">
        <v>49</v>
      </c>
      <c r="T44" s="35" t="str">
        <f>""</f>
        <v/>
      </c>
      <c r="U44" s="35" t="s">
        <v>47</v>
      </c>
      <c r="V44" s="35">
        <v>22480372</v>
      </c>
      <c r="W44" s="35" t="s">
        <v>52</v>
      </c>
      <c r="X44" s="35">
        <v>1</v>
      </c>
      <c r="Y44" s="35" t="s">
        <v>49</v>
      </c>
      <c r="Z44" s="35" t="str">
        <f>""</f>
        <v/>
      </c>
      <c r="AA44" s="35" t="s">
        <v>47</v>
      </c>
      <c r="AB44" s="35">
        <v>21380488</v>
      </c>
      <c r="AC44" s="35" t="s">
        <v>52</v>
      </c>
      <c r="AD44" s="35">
        <v>1</v>
      </c>
      <c r="AE44" s="35" t="s">
        <v>49</v>
      </c>
      <c r="AF44" s="25" t="str">
        <f>""</f>
        <v/>
      </c>
      <c r="AG44" s="35" t="s">
        <v>1</v>
      </c>
      <c r="AH44" s="35">
        <v>20002050</v>
      </c>
      <c r="AI44" s="35" t="s">
        <v>136</v>
      </c>
      <c r="AJ44" s="35">
        <v>1</v>
      </c>
      <c r="AK44" s="35" t="s">
        <v>49</v>
      </c>
      <c r="AL44" s="35" t="s">
        <v>66</v>
      </c>
      <c r="AM44" s="35" t="s">
        <v>47</v>
      </c>
      <c r="AN44" s="50">
        <v>23068344</v>
      </c>
      <c r="AO44" s="35" t="s">
        <v>54</v>
      </c>
      <c r="AP44" s="35">
        <v>38</v>
      </c>
      <c r="AQ44" s="35" t="s">
        <v>53</v>
      </c>
      <c r="AR44" s="35" t="s">
        <v>51</v>
      </c>
      <c r="AS44" s="35"/>
      <c r="AT44" s="35"/>
      <c r="AU44" s="35"/>
      <c r="AV44" s="35"/>
      <c r="AW44" s="35"/>
      <c r="AX44" s="54" t="str">
        <f>""</f>
        <v/>
      </c>
      <c r="AY44" s="54" t="str">
        <f>""</f>
        <v/>
      </c>
      <c r="AZ44" s="54" t="str">
        <f>""</f>
        <v/>
      </c>
      <c r="BA44" s="54" t="str">
        <f>""</f>
        <v/>
      </c>
      <c r="BB44" s="54" t="str">
        <f>""</f>
        <v/>
      </c>
      <c r="BC44" s="54" t="str">
        <f>""</f>
        <v/>
      </c>
      <c r="BD44" s="54" t="str">
        <f>""</f>
        <v/>
      </c>
      <c r="BE44" s="36"/>
      <c r="BF44" s="36"/>
      <c r="BG44" s="25" t="s">
        <v>324</v>
      </c>
    </row>
    <row r="45" spans="1:59" x14ac:dyDescent="0.25">
      <c r="A45" s="25" t="str">
        <f t="shared" si="4"/>
        <v>PE220002055CA</v>
      </c>
      <c r="B45" s="25" t="s">
        <v>335</v>
      </c>
      <c r="C45" s="25" t="s">
        <v>294</v>
      </c>
      <c r="D45" s="25" t="s">
        <v>282</v>
      </c>
      <c r="E45" s="25" t="s">
        <v>196</v>
      </c>
      <c r="F45" s="25" t="s">
        <v>1</v>
      </c>
      <c r="G45" s="25">
        <v>2000</v>
      </c>
      <c r="H45" s="25">
        <v>2055</v>
      </c>
      <c r="I45" s="25" t="s">
        <v>47</v>
      </c>
      <c r="J45" s="25">
        <v>21707133</v>
      </c>
      <c r="K45" s="25" t="s">
        <v>48</v>
      </c>
      <c r="L45" s="25">
        <v>2</v>
      </c>
      <c r="M45" s="25" t="s">
        <v>49</v>
      </c>
      <c r="N45" s="25" t="str">
        <f>""</f>
        <v/>
      </c>
      <c r="O45" s="25" t="s">
        <v>47</v>
      </c>
      <c r="P45" s="25">
        <v>21707132</v>
      </c>
      <c r="Q45" s="25" t="s">
        <v>50</v>
      </c>
      <c r="R45" s="25">
        <v>1</v>
      </c>
      <c r="S45" s="25" t="s">
        <v>49</v>
      </c>
      <c r="T45" s="25" t="str">
        <f>""</f>
        <v/>
      </c>
      <c r="U45" s="25" t="s">
        <v>47</v>
      </c>
      <c r="V45" s="25">
        <v>22480372</v>
      </c>
      <c r="W45" s="25" t="s">
        <v>52</v>
      </c>
      <c r="X45" s="25">
        <v>1</v>
      </c>
      <c r="Y45" s="25" t="s">
        <v>49</v>
      </c>
      <c r="Z45" s="25" t="str">
        <f>""</f>
        <v/>
      </c>
      <c r="AA45" s="25" t="s">
        <v>47</v>
      </c>
      <c r="AB45" s="25">
        <v>21380475</v>
      </c>
      <c r="AC45" s="25" t="s">
        <v>52</v>
      </c>
      <c r="AD45" s="25">
        <v>1</v>
      </c>
      <c r="AE45" s="25" t="s">
        <v>49</v>
      </c>
      <c r="AF45" s="25" t="str">
        <f>""</f>
        <v/>
      </c>
      <c r="AG45" s="25" t="s">
        <v>1</v>
      </c>
      <c r="AH45" s="25">
        <v>20002050</v>
      </c>
      <c r="AI45" s="25" t="s">
        <v>136</v>
      </c>
      <c r="AJ45" s="25">
        <v>1</v>
      </c>
      <c r="AK45" s="25" t="s">
        <v>49</v>
      </c>
      <c r="AL45" s="25" t="s">
        <v>66</v>
      </c>
      <c r="AM45" s="25" t="s">
        <v>47</v>
      </c>
      <c r="AN45" s="34">
        <v>23068344</v>
      </c>
      <c r="AO45" s="25" t="s">
        <v>59</v>
      </c>
      <c r="AP45" s="25">
        <v>38</v>
      </c>
      <c r="AQ45" s="25" t="s">
        <v>53</v>
      </c>
      <c r="AR45" s="25" t="s">
        <v>51</v>
      </c>
      <c r="AS45" s="25"/>
      <c r="AT45" s="25"/>
      <c r="AU45" s="25"/>
      <c r="AV45" s="25"/>
      <c r="AW45" s="25"/>
      <c r="AX45" s="41" t="str">
        <f>""</f>
        <v/>
      </c>
      <c r="AY45" s="41" t="str">
        <f>""</f>
        <v/>
      </c>
      <c r="AZ45" s="41" t="str">
        <f>""</f>
        <v/>
      </c>
      <c r="BA45" s="41" t="str">
        <f>""</f>
        <v/>
      </c>
      <c r="BB45" s="41" t="str">
        <f>""</f>
        <v/>
      </c>
      <c r="BC45" s="41" t="str">
        <f>""</f>
        <v/>
      </c>
      <c r="BD45" s="41" t="str">
        <f>""</f>
        <v/>
      </c>
      <c r="BE45" s="51"/>
      <c r="BF45" s="51"/>
      <c r="BG45" s="25" t="s">
        <v>324</v>
      </c>
    </row>
    <row r="46" spans="1:59" x14ac:dyDescent="0.25">
      <c r="A46" s="25" t="str">
        <f t="shared" si="4"/>
        <v>PE220002065CA</v>
      </c>
      <c r="B46" s="25" t="s">
        <v>335</v>
      </c>
      <c r="C46" s="25" t="s">
        <v>295</v>
      </c>
      <c r="D46" s="25" t="s">
        <v>283</v>
      </c>
      <c r="E46" s="25" t="s">
        <v>109</v>
      </c>
      <c r="F46" s="25" t="s">
        <v>1</v>
      </c>
      <c r="G46" s="25">
        <v>2000</v>
      </c>
      <c r="H46" s="25">
        <v>2065</v>
      </c>
      <c r="I46" s="25" t="s">
        <v>47</v>
      </c>
      <c r="J46" s="25">
        <v>21707133</v>
      </c>
      <c r="K46" s="25" t="s">
        <v>48</v>
      </c>
      <c r="L46" s="25">
        <v>2</v>
      </c>
      <c r="M46" s="25" t="s">
        <v>49</v>
      </c>
      <c r="N46" s="25" t="str">
        <f>""</f>
        <v/>
      </c>
      <c r="O46" s="25" t="s">
        <v>47</v>
      </c>
      <c r="P46" s="25">
        <v>21707132</v>
      </c>
      <c r="Q46" s="25" t="s">
        <v>50</v>
      </c>
      <c r="R46" s="25">
        <v>1</v>
      </c>
      <c r="S46" s="25" t="s">
        <v>49</v>
      </c>
      <c r="T46" s="25" t="str">
        <f>""</f>
        <v/>
      </c>
      <c r="U46" s="25" t="s">
        <v>47</v>
      </c>
      <c r="V46" s="25">
        <v>8193841</v>
      </c>
      <c r="W46" s="25" t="s">
        <v>52</v>
      </c>
      <c r="X46" s="25">
        <v>1</v>
      </c>
      <c r="Y46" s="25" t="s">
        <v>49</v>
      </c>
      <c r="Z46" s="25" t="str">
        <f>""</f>
        <v/>
      </c>
      <c r="AA46" s="25" t="s">
        <v>1</v>
      </c>
      <c r="AB46" s="25">
        <v>20002050</v>
      </c>
      <c r="AC46" s="25" t="s">
        <v>136</v>
      </c>
      <c r="AD46" s="25">
        <v>1</v>
      </c>
      <c r="AE46" s="25" t="s">
        <v>49</v>
      </c>
      <c r="AF46" s="25" t="str">
        <f>""</f>
        <v/>
      </c>
      <c r="AG46" s="25" t="s">
        <v>47</v>
      </c>
      <c r="AH46" s="25">
        <v>23068344</v>
      </c>
      <c r="AI46" s="25" t="s">
        <v>127</v>
      </c>
      <c r="AJ46" s="25">
        <v>38</v>
      </c>
      <c r="AK46" s="25" t="s">
        <v>53</v>
      </c>
      <c r="AL46" s="25" t="s">
        <v>51</v>
      </c>
      <c r="AM46" s="25"/>
      <c r="AN46" s="34"/>
      <c r="AO46" s="25"/>
      <c r="AP46" s="25"/>
      <c r="AQ46" s="25"/>
      <c r="AR46" s="25" t="str">
        <f>""</f>
        <v/>
      </c>
      <c r="AS46" s="25" t="str">
        <f>""</f>
        <v/>
      </c>
      <c r="AT46" s="25" t="str">
        <f>""</f>
        <v/>
      </c>
      <c r="AU46" s="25" t="str">
        <f>""</f>
        <v/>
      </c>
      <c r="AV46" s="25" t="s">
        <v>66</v>
      </c>
      <c r="AW46" s="25" t="str">
        <f>""</f>
        <v/>
      </c>
      <c r="AX46" s="41" t="str">
        <f>""</f>
        <v/>
      </c>
      <c r="AY46" s="41" t="str">
        <f>""</f>
        <v/>
      </c>
      <c r="AZ46" s="41" t="str">
        <f>""</f>
        <v/>
      </c>
      <c r="BA46" s="41" t="str">
        <f>""</f>
        <v/>
      </c>
      <c r="BB46" s="41" t="str">
        <f>""</f>
        <v/>
      </c>
      <c r="BC46" s="41" t="str">
        <f>""</f>
        <v/>
      </c>
      <c r="BD46" s="41" t="str">
        <f>""</f>
        <v/>
      </c>
      <c r="BE46" s="51"/>
      <c r="BF46" s="51"/>
      <c r="BG46" s="25" t="s">
        <v>324</v>
      </c>
    </row>
    <row r="47" spans="1:59" x14ac:dyDescent="0.25">
      <c r="A47" s="25" t="str">
        <f t="shared" si="4"/>
        <v>PE220002067CA</v>
      </c>
      <c r="B47" s="25" t="s">
        <v>335</v>
      </c>
      <c r="C47" s="25" t="s">
        <v>296</v>
      </c>
      <c r="D47" s="25" t="s">
        <v>285</v>
      </c>
      <c r="E47" s="25" t="s">
        <v>110</v>
      </c>
      <c r="F47" s="25" t="s">
        <v>1</v>
      </c>
      <c r="G47" s="25">
        <v>2000</v>
      </c>
      <c r="H47" s="25">
        <v>2067</v>
      </c>
      <c r="I47" s="25" t="s">
        <v>47</v>
      </c>
      <c r="J47" s="25">
        <v>21707134</v>
      </c>
      <c r="K47" s="25" t="s">
        <v>60</v>
      </c>
      <c r="L47" s="25">
        <v>2</v>
      </c>
      <c r="M47" s="25" t="s">
        <v>49</v>
      </c>
      <c r="N47" s="25" t="str">
        <f>""</f>
        <v/>
      </c>
      <c r="O47" s="25" t="s">
        <v>47</v>
      </c>
      <c r="P47" s="25">
        <v>466987</v>
      </c>
      <c r="Q47" s="25" t="s">
        <v>61</v>
      </c>
      <c r="R47" s="25">
        <v>2</v>
      </c>
      <c r="S47" s="25" t="s">
        <v>49</v>
      </c>
      <c r="T47" s="25" t="str">
        <f>""</f>
        <v/>
      </c>
      <c r="U47" s="25" t="s">
        <v>1</v>
      </c>
      <c r="V47" s="25">
        <v>20002050</v>
      </c>
      <c r="W47" s="25" t="s">
        <v>136</v>
      </c>
      <c r="X47" s="25">
        <v>1</v>
      </c>
      <c r="Y47" s="25" t="s">
        <v>49</v>
      </c>
      <c r="Z47" s="25" t="str">
        <f>""</f>
        <v/>
      </c>
      <c r="AA47" s="25" t="s">
        <v>47</v>
      </c>
      <c r="AB47" s="25">
        <v>23068344</v>
      </c>
      <c r="AC47" s="25" t="s">
        <v>59</v>
      </c>
      <c r="AD47" s="25">
        <v>38</v>
      </c>
      <c r="AE47" s="25" t="s">
        <v>53</v>
      </c>
      <c r="AF47" s="25" t="s">
        <v>51</v>
      </c>
      <c r="AG47" s="25" t="str">
        <f>""</f>
        <v/>
      </c>
      <c r="AH47" s="25" t="str">
        <f>""</f>
        <v/>
      </c>
      <c r="AI47" s="25" t="str">
        <f>""</f>
        <v/>
      </c>
      <c r="AJ47" s="25" t="str">
        <f>""</f>
        <v/>
      </c>
      <c r="AK47" s="25" t="str">
        <f>""</f>
        <v/>
      </c>
      <c r="AL47" s="25" t="str">
        <f>""</f>
        <v/>
      </c>
      <c r="AM47" s="25" t="str">
        <f>""</f>
        <v/>
      </c>
      <c r="AN47" s="25" t="str">
        <f>""</f>
        <v/>
      </c>
      <c r="AO47" s="25" t="str">
        <f>""</f>
        <v/>
      </c>
      <c r="AP47" s="25" t="str">
        <f>""</f>
        <v/>
      </c>
      <c r="AQ47" s="25" t="str">
        <f>""</f>
        <v/>
      </c>
      <c r="AR47" s="25" t="str">
        <f>""</f>
        <v/>
      </c>
      <c r="AS47" s="25" t="str">
        <f>""</f>
        <v/>
      </c>
      <c r="AT47" s="25" t="str">
        <f>""</f>
        <v/>
      </c>
      <c r="AU47" s="25" t="str">
        <f>""</f>
        <v/>
      </c>
      <c r="AV47" s="25" t="str">
        <f>""</f>
        <v/>
      </c>
      <c r="AW47" s="25" t="str">
        <f>""</f>
        <v/>
      </c>
      <c r="AX47" s="25" t="str">
        <f>""</f>
        <v/>
      </c>
      <c r="AY47" s="25" t="str">
        <f>""</f>
        <v/>
      </c>
      <c r="AZ47" s="25" t="str">
        <f>""</f>
        <v/>
      </c>
      <c r="BA47" s="25" t="str">
        <f>""</f>
        <v/>
      </c>
      <c r="BB47" s="25" t="str">
        <f>""</f>
        <v/>
      </c>
      <c r="BC47" s="25" t="str">
        <f>""</f>
        <v/>
      </c>
      <c r="BD47" s="25" t="str">
        <f>""</f>
        <v/>
      </c>
      <c r="BE47" s="51"/>
      <c r="BF47" s="51"/>
      <c r="BG47" s="25" t="s">
        <v>324</v>
      </c>
    </row>
    <row r="48" spans="1:59" x14ac:dyDescent="0.25">
      <c r="A48" s="25" t="str">
        <f t="shared" si="4"/>
        <v>PE220002053CA</v>
      </c>
      <c r="B48" s="25" t="s">
        <v>335</v>
      </c>
      <c r="C48" s="25" t="s">
        <v>297</v>
      </c>
      <c r="D48" s="25" t="s">
        <v>284</v>
      </c>
      <c r="E48" s="25" t="s">
        <v>132</v>
      </c>
      <c r="F48" s="25" t="s">
        <v>1</v>
      </c>
      <c r="G48" s="25">
        <v>2000</v>
      </c>
      <c r="H48" s="25">
        <v>2053</v>
      </c>
      <c r="I48" s="25" t="s">
        <v>47</v>
      </c>
      <c r="J48" s="25">
        <v>21707133</v>
      </c>
      <c r="K48" s="25" t="s">
        <v>48</v>
      </c>
      <c r="L48" s="25">
        <v>10</v>
      </c>
      <c r="M48" s="25" t="s">
        <v>49</v>
      </c>
      <c r="N48" s="25" t="str">
        <f>""</f>
        <v/>
      </c>
      <c r="O48" s="25" t="s">
        <v>47</v>
      </c>
      <c r="P48" s="25">
        <v>21707132</v>
      </c>
      <c r="Q48" s="25" t="s">
        <v>50</v>
      </c>
      <c r="R48" s="25">
        <v>5</v>
      </c>
      <c r="S48" s="25" t="s">
        <v>49</v>
      </c>
      <c r="T48" s="25" t="str">
        <f>""</f>
        <v/>
      </c>
      <c r="U48" s="25" t="s">
        <v>47</v>
      </c>
      <c r="V48" s="25">
        <v>22480372</v>
      </c>
      <c r="W48" s="25" t="s">
        <v>52</v>
      </c>
      <c r="X48" s="25">
        <v>5</v>
      </c>
      <c r="Y48" s="25" t="s">
        <v>49</v>
      </c>
      <c r="Z48" s="25" t="str">
        <f>""</f>
        <v/>
      </c>
      <c r="AA48" s="25" t="s">
        <v>47</v>
      </c>
      <c r="AB48" s="25">
        <v>21380488</v>
      </c>
      <c r="AC48" s="25" t="s">
        <v>52</v>
      </c>
      <c r="AD48" s="25">
        <v>5</v>
      </c>
      <c r="AE48" s="25" t="s">
        <v>49</v>
      </c>
      <c r="AF48" s="25" t="str">
        <f>""</f>
        <v/>
      </c>
      <c r="AG48" s="25" t="s">
        <v>1</v>
      </c>
      <c r="AH48" s="25">
        <v>20002050</v>
      </c>
      <c r="AI48" s="25" t="s">
        <v>136</v>
      </c>
      <c r="AJ48" s="25">
        <v>5</v>
      </c>
      <c r="AK48" s="25" t="s">
        <v>49</v>
      </c>
      <c r="AL48" s="25" t="str">
        <f>""</f>
        <v/>
      </c>
      <c r="AM48" s="25" t="s">
        <v>47</v>
      </c>
      <c r="AN48" s="34">
        <v>23068345</v>
      </c>
      <c r="AO48" s="25" t="s">
        <v>62</v>
      </c>
      <c r="AP48" s="25">
        <v>208</v>
      </c>
      <c r="AQ48" s="25" t="s">
        <v>53</v>
      </c>
      <c r="AR48" s="25" t="s">
        <v>51</v>
      </c>
      <c r="AS48" s="25" t="str">
        <f>""</f>
        <v/>
      </c>
      <c r="AT48" s="25" t="str">
        <f>""</f>
        <v/>
      </c>
      <c r="AU48" s="25" t="str">
        <f>""</f>
        <v/>
      </c>
      <c r="AV48" s="25" t="str">
        <f>""</f>
        <v/>
      </c>
      <c r="AW48" s="25" t="str">
        <f>""</f>
        <v/>
      </c>
      <c r="AX48" s="41" t="str">
        <f>""</f>
        <v/>
      </c>
      <c r="AY48" s="41" t="str">
        <f>""</f>
        <v/>
      </c>
      <c r="AZ48" s="41" t="str">
        <f>""</f>
        <v/>
      </c>
      <c r="BA48" s="41" t="str">
        <f>""</f>
        <v/>
      </c>
      <c r="BB48" s="41" t="str">
        <f>""</f>
        <v/>
      </c>
      <c r="BC48" s="41" t="str">
        <f>""</f>
        <v/>
      </c>
      <c r="BD48" s="41" t="str">
        <f>""</f>
        <v/>
      </c>
      <c r="BE48" s="51"/>
      <c r="BF48" s="51"/>
      <c r="BG48" s="25" t="s">
        <v>324</v>
      </c>
    </row>
    <row r="49" spans="1:59" x14ac:dyDescent="0.25">
      <c r="A49" s="25" t="str">
        <f t="shared" si="4"/>
        <v>PE220002057CA</v>
      </c>
      <c r="B49" s="25" t="s">
        <v>335</v>
      </c>
      <c r="C49" s="25" t="s">
        <v>298</v>
      </c>
      <c r="D49" s="25" t="s">
        <v>299</v>
      </c>
      <c r="E49" s="25" t="s">
        <v>133</v>
      </c>
      <c r="F49" s="25" t="s">
        <v>1</v>
      </c>
      <c r="G49" s="25">
        <v>2000</v>
      </c>
      <c r="H49" s="25">
        <v>2057</v>
      </c>
      <c r="I49" s="25" t="s">
        <v>47</v>
      </c>
      <c r="J49" s="25">
        <v>21707133</v>
      </c>
      <c r="K49" s="25" t="s">
        <v>48</v>
      </c>
      <c r="L49" s="25">
        <v>10</v>
      </c>
      <c r="M49" s="25" t="s">
        <v>49</v>
      </c>
      <c r="N49" s="25" t="str">
        <f>""</f>
        <v/>
      </c>
      <c r="O49" s="25" t="s">
        <v>47</v>
      </c>
      <c r="P49" s="25">
        <v>21707132</v>
      </c>
      <c r="Q49" s="25" t="s">
        <v>50</v>
      </c>
      <c r="R49" s="25">
        <v>5</v>
      </c>
      <c r="S49" s="25" t="s">
        <v>49</v>
      </c>
      <c r="T49" s="25" t="str">
        <f>""</f>
        <v/>
      </c>
      <c r="U49" s="25" t="s">
        <v>47</v>
      </c>
      <c r="V49" s="25">
        <v>22480372</v>
      </c>
      <c r="W49" s="25" t="s">
        <v>52</v>
      </c>
      <c r="X49" s="25">
        <v>5</v>
      </c>
      <c r="Y49" s="25" t="s">
        <v>49</v>
      </c>
      <c r="Z49" s="25" t="str">
        <f>""</f>
        <v/>
      </c>
      <c r="AA49" s="25" t="s">
        <v>47</v>
      </c>
      <c r="AB49" s="25">
        <v>21380475</v>
      </c>
      <c r="AC49" s="25" t="s">
        <v>52</v>
      </c>
      <c r="AD49" s="25">
        <v>5</v>
      </c>
      <c r="AE49" s="25" t="s">
        <v>49</v>
      </c>
      <c r="AF49" s="25" t="str">
        <f>""</f>
        <v/>
      </c>
      <c r="AG49" s="25" t="s">
        <v>1</v>
      </c>
      <c r="AH49" s="25">
        <v>20002050</v>
      </c>
      <c r="AI49" s="25" t="s">
        <v>136</v>
      </c>
      <c r="AJ49" s="25">
        <v>5</v>
      </c>
      <c r="AK49" s="25" t="s">
        <v>49</v>
      </c>
      <c r="AL49" s="25" t="str">
        <f>""</f>
        <v/>
      </c>
      <c r="AM49" s="25" t="s">
        <v>47</v>
      </c>
      <c r="AN49" s="34">
        <v>23068345</v>
      </c>
      <c r="AO49" s="25" t="s">
        <v>62</v>
      </c>
      <c r="AP49" s="25">
        <v>208</v>
      </c>
      <c r="AQ49" s="25" t="s">
        <v>53</v>
      </c>
      <c r="AR49" s="25" t="s">
        <v>51</v>
      </c>
      <c r="AS49" s="25" t="str">
        <f>""</f>
        <v/>
      </c>
      <c r="AT49" s="25" t="str">
        <f>""</f>
        <v/>
      </c>
      <c r="AU49" s="25" t="str">
        <f>""</f>
        <v/>
      </c>
      <c r="AV49" s="25" t="s">
        <v>66</v>
      </c>
      <c r="AW49" s="25" t="s">
        <v>66</v>
      </c>
      <c r="AX49" s="41" t="str">
        <f>""</f>
        <v/>
      </c>
      <c r="AY49" s="41" t="str">
        <f>""</f>
        <v/>
      </c>
      <c r="AZ49" s="41" t="str">
        <f>""</f>
        <v/>
      </c>
      <c r="BA49" s="41" t="str">
        <f>""</f>
        <v/>
      </c>
      <c r="BB49" s="41" t="str">
        <f>""</f>
        <v/>
      </c>
      <c r="BC49" s="41" t="str">
        <f>""</f>
        <v/>
      </c>
      <c r="BD49" s="41" t="str">
        <f>""</f>
        <v/>
      </c>
      <c r="BE49" s="51"/>
      <c r="BF49" s="51"/>
      <c r="BG49" s="25" t="s">
        <v>324</v>
      </c>
    </row>
    <row r="50" spans="1:59" x14ac:dyDescent="0.25">
      <c r="A50" s="25" t="str">
        <f t="shared" si="4"/>
        <v>PE220002059CA</v>
      </c>
      <c r="B50" s="25" t="s">
        <v>335</v>
      </c>
      <c r="C50" s="25" t="s">
        <v>300</v>
      </c>
      <c r="D50" s="25" t="s">
        <v>290</v>
      </c>
      <c r="E50" s="25" t="s">
        <v>134</v>
      </c>
      <c r="F50" s="25" t="s">
        <v>1</v>
      </c>
      <c r="G50" s="25">
        <v>2000</v>
      </c>
      <c r="H50" s="25">
        <v>2059</v>
      </c>
      <c r="I50" s="25" t="s">
        <v>47</v>
      </c>
      <c r="J50" s="25">
        <v>21707133</v>
      </c>
      <c r="K50" s="25" t="s">
        <v>48</v>
      </c>
      <c r="L50" s="25">
        <v>10</v>
      </c>
      <c r="M50" s="25" t="s">
        <v>49</v>
      </c>
      <c r="N50" s="25" t="str">
        <f>""</f>
        <v/>
      </c>
      <c r="O50" s="25" t="s">
        <v>47</v>
      </c>
      <c r="P50" s="25">
        <v>21707132</v>
      </c>
      <c r="Q50" s="25" t="s">
        <v>50</v>
      </c>
      <c r="R50" s="25">
        <v>5</v>
      </c>
      <c r="S50" s="25" t="s">
        <v>49</v>
      </c>
      <c r="T50" s="25" t="str">
        <f>""</f>
        <v/>
      </c>
      <c r="U50" s="25" t="s">
        <v>47</v>
      </c>
      <c r="V50" s="25">
        <v>21632237</v>
      </c>
      <c r="W50" s="25" t="s">
        <v>52</v>
      </c>
      <c r="X50" s="25">
        <v>5</v>
      </c>
      <c r="Y50" s="25" t="s">
        <v>49</v>
      </c>
      <c r="Z50" s="25" t="str">
        <f>""</f>
        <v/>
      </c>
      <c r="AA50" s="25" t="s">
        <v>47</v>
      </c>
      <c r="AB50" s="25">
        <v>21380475</v>
      </c>
      <c r="AC50" s="25" t="s">
        <v>52</v>
      </c>
      <c r="AD50" s="25">
        <v>5</v>
      </c>
      <c r="AE50" s="25" t="s">
        <v>49</v>
      </c>
      <c r="AF50" s="25" t="str">
        <f>""</f>
        <v/>
      </c>
      <c r="AG50" s="25" t="s">
        <v>1</v>
      </c>
      <c r="AH50" s="25">
        <v>20002050</v>
      </c>
      <c r="AI50" s="25" t="s">
        <v>136</v>
      </c>
      <c r="AJ50" s="25">
        <v>5</v>
      </c>
      <c r="AK50" s="25" t="s">
        <v>49</v>
      </c>
      <c r="AL50" s="25" t="str">
        <f>""</f>
        <v/>
      </c>
      <c r="AM50" s="25" t="s">
        <v>47</v>
      </c>
      <c r="AN50" s="34">
        <v>23068345</v>
      </c>
      <c r="AO50" s="25" t="s">
        <v>62</v>
      </c>
      <c r="AP50" s="25">
        <v>208</v>
      </c>
      <c r="AQ50" s="25" t="s">
        <v>53</v>
      </c>
      <c r="AR50" s="25" t="s">
        <v>51</v>
      </c>
      <c r="AS50" s="25" t="str">
        <f>""</f>
        <v/>
      </c>
      <c r="AT50" s="25" t="str">
        <f>""</f>
        <v/>
      </c>
      <c r="AU50" s="25" t="str">
        <f>""</f>
        <v/>
      </c>
      <c r="AV50" s="25" t="s">
        <v>66</v>
      </c>
      <c r="AW50" s="25" t="s">
        <v>66</v>
      </c>
      <c r="AX50" s="41" t="str">
        <f>""</f>
        <v/>
      </c>
      <c r="AY50" s="41" t="str">
        <f>""</f>
        <v/>
      </c>
      <c r="AZ50" s="41" t="str">
        <f>""</f>
        <v/>
      </c>
      <c r="BA50" s="41" t="str">
        <f>""</f>
        <v/>
      </c>
      <c r="BB50" s="41" t="str">
        <f>""</f>
        <v/>
      </c>
      <c r="BC50" s="41" t="str">
        <f>""</f>
        <v/>
      </c>
      <c r="BD50" s="41" t="str">
        <f>""</f>
        <v/>
      </c>
      <c r="BE50" s="51"/>
      <c r="BF50" s="51"/>
      <c r="BG50" s="25" t="s">
        <v>324</v>
      </c>
    </row>
    <row r="51" spans="1:59" x14ac:dyDescent="0.25">
      <c r="A51" s="25" t="str">
        <f t="shared" si="4"/>
        <v>PE220002061CA</v>
      </c>
      <c r="B51" s="25" t="s">
        <v>335</v>
      </c>
      <c r="C51" s="25" t="s">
        <v>301</v>
      </c>
      <c r="D51" s="25" t="s">
        <v>302</v>
      </c>
      <c r="E51" s="25" t="s">
        <v>135</v>
      </c>
      <c r="F51" s="25" t="s">
        <v>1</v>
      </c>
      <c r="G51" s="25">
        <v>2000</v>
      </c>
      <c r="H51" s="25">
        <v>2061</v>
      </c>
      <c r="I51" s="25" t="s">
        <v>47</v>
      </c>
      <c r="J51" s="25">
        <v>21707133</v>
      </c>
      <c r="K51" s="25" t="s">
        <v>48</v>
      </c>
      <c r="L51" s="25">
        <v>10</v>
      </c>
      <c r="M51" s="25" t="s">
        <v>49</v>
      </c>
      <c r="N51" s="25" t="str">
        <f>""</f>
        <v/>
      </c>
      <c r="O51" s="25" t="s">
        <v>47</v>
      </c>
      <c r="P51" s="25">
        <v>21707132</v>
      </c>
      <c r="Q51" s="25" t="s">
        <v>50</v>
      </c>
      <c r="R51" s="25">
        <v>5</v>
      </c>
      <c r="S51" s="25" t="s">
        <v>49</v>
      </c>
      <c r="T51" s="25" t="str">
        <f>""</f>
        <v/>
      </c>
      <c r="U51" s="25" t="s">
        <v>47</v>
      </c>
      <c r="V51" s="25">
        <v>22480372</v>
      </c>
      <c r="W51" s="25" t="s">
        <v>52</v>
      </c>
      <c r="X51" s="25">
        <v>5</v>
      </c>
      <c r="Y51" s="25" t="s">
        <v>49</v>
      </c>
      <c r="Z51" s="25" t="str">
        <f>""</f>
        <v/>
      </c>
      <c r="AA51" s="25" t="s">
        <v>47</v>
      </c>
      <c r="AB51" s="25">
        <v>20998367</v>
      </c>
      <c r="AC51" s="25" t="s">
        <v>58</v>
      </c>
      <c r="AD51" s="25">
        <v>5</v>
      </c>
      <c r="AE51" s="25" t="s">
        <v>49</v>
      </c>
      <c r="AF51" s="25" t="str">
        <f>""</f>
        <v/>
      </c>
      <c r="AG51" s="25" t="s">
        <v>1</v>
      </c>
      <c r="AH51" s="25">
        <v>20002050</v>
      </c>
      <c r="AI51" s="25" t="s">
        <v>136</v>
      </c>
      <c r="AJ51" s="25">
        <v>5</v>
      </c>
      <c r="AK51" s="25" t="s">
        <v>49</v>
      </c>
      <c r="AL51" s="25" t="str">
        <f>""</f>
        <v/>
      </c>
      <c r="AM51" s="25" t="s">
        <v>47</v>
      </c>
      <c r="AN51" s="34">
        <v>23068345</v>
      </c>
      <c r="AO51" s="25" t="s">
        <v>62</v>
      </c>
      <c r="AP51" s="25">
        <v>208</v>
      </c>
      <c r="AQ51" s="25" t="s">
        <v>53</v>
      </c>
      <c r="AR51" s="25" t="s">
        <v>51</v>
      </c>
      <c r="AS51" s="25" t="str">
        <f>""</f>
        <v/>
      </c>
      <c r="AT51" s="25" t="str">
        <f>""</f>
        <v/>
      </c>
      <c r="AU51" s="25" t="str">
        <f>""</f>
        <v/>
      </c>
      <c r="AV51" s="25" t="s">
        <v>66</v>
      </c>
      <c r="AW51" s="25" t="s">
        <v>66</v>
      </c>
      <c r="AX51" s="41" t="str">
        <f>""</f>
        <v/>
      </c>
      <c r="AY51" s="41" t="str">
        <f>""</f>
        <v/>
      </c>
      <c r="AZ51" s="41" t="str">
        <f>""</f>
        <v/>
      </c>
      <c r="BA51" s="41" t="str">
        <f>""</f>
        <v/>
      </c>
      <c r="BB51" s="41" t="str">
        <f>""</f>
        <v/>
      </c>
      <c r="BC51" s="41" t="str">
        <f>""</f>
        <v/>
      </c>
      <c r="BD51" s="41" t="str">
        <f>""</f>
        <v/>
      </c>
      <c r="BE51" s="51"/>
      <c r="BF51" s="51"/>
      <c r="BG51" s="25" t="s">
        <v>324</v>
      </c>
    </row>
    <row r="52" spans="1:59" x14ac:dyDescent="0.25">
      <c r="A52" s="25" t="str">
        <f t="shared" si="4"/>
        <v>PE220001979CA</v>
      </c>
      <c r="B52" s="25" t="s">
        <v>335</v>
      </c>
      <c r="C52" s="25" t="s">
        <v>303</v>
      </c>
      <c r="D52" s="25" t="s">
        <v>288</v>
      </c>
      <c r="E52" s="25" t="s">
        <v>182</v>
      </c>
      <c r="F52" s="25" t="s">
        <v>1</v>
      </c>
      <c r="G52" s="25">
        <v>2000</v>
      </c>
      <c r="H52" s="25">
        <v>1979</v>
      </c>
      <c r="I52" s="25" t="s">
        <v>47</v>
      </c>
      <c r="J52" s="25">
        <v>21707134</v>
      </c>
      <c r="K52" s="25" t="s">
        <v>60</v>
      </c>
      <c r="L52" s="25">
        <v>1</v>
      </c>
      <c r="M52" s="25" t="s">
        <v>49</v>
      </c>
      <c r="N52" s="25" t="str">
        <f>""</f>
        <v/>
      </c>
      <c r="O52" s="25" t="s">
        <v>47</v>
      </c>
      <c r="P52" s="25">
        <v>20841523</v>
      </c>
      <c r="Q52" s="25" t="s">
        <v>52</v>
      </c>
      <c r="R52" s="25">
        <v>1</v>
      </c>
      <c r="S52" s="25" t="s">
        <v>49</v>
      </c>
      <c r="T52" s="25" t="str">
        <f>""</f>
        <v/>
      </c>
      <c r="U52" s="25" t="s">
        <v>47</v>
      </c>
      <c r="V52" s="25">
        <v>8159975</v>
      </c>
      <c r="W52" s="25" t="s">
        <v>343</v>
      </c>
      <c r="X52" s="25">
        <v>1</v>
      </c>
      <c r="Y52" s="25" t="s">
        <v>49</v>
      </c>
      <c r="Z52" s="25" t="str">
        <f>""</f>
        <v/>
      </c>
      <c r="AA52" s="25" t="s">
        <v>1</v>
      </c>
      <c r="AB52" s="25">
        <v>20002050</v>
      </c>
      <c r="AC52" s="25" t="s">
        <v>136</v>
      </c>
      <c r="AD52" s="25">
        <v>1</v>
      </c>
      <c r="AE52" s="25" t="s">
        <v>49</v>
      </c>
      <c r="AF52" s="25" t="str">
        <f>""</f>
        <v/>
      </c>
      <c r="AG52" s="25" t="s">
        <v>47</v>
      </c>
      <c r="AH52" s="25">
        <v>23068344</v>
      </c>
      <c r="AI52" s="25" t="s">
        <v>127</v>
      </c>
      <c r="AJ52" s="25">
        <v>19</v>
      </c>
      <c r="AK52" s="25" t="s">
        <v>53</v>
      </c>
      <c r="AL52" s="25" t="s">
        <v>51</v>
      </c>
      <c r="AM52" s="25" t="s">
        <v>47</v>
      </c>
      <c r="AN52" s="34">
        <v>23068343</v>
      </c>
      <c r="AO52" s="25" t="s">
        <v>64</v>
      </c>
      <c r="AP52" s="25">
        <v>2</v>
      </c>
      <c r="AQ52" s="25" t="s">
        <v>65</v>
      </c>
      <c r="AR52" s="25" t="s">
        <v>66</v>
      </c>
      <c r="AS52" s="25" t="str">
        <f>""</f>
        <v/>
      </c>
      <c r="AT52" s="25" t="str">
        <f>""</f>
        <v/>
      </c>
      <c r="AU52" s="25" t="str">
        <f>""</f>
        <v/>
      </c>
      <c r="AV52" s="25" t="s">
        <v>66</v>
      </c>
      <c r="AW52" s="25" t="s">
        <v>66</v>
      </c>
      <c r="AX52" s="41" t="str">
        <f>""</f>
        <v/>
      </c>
      <c r="AY52" s="41" t="str">
        <f>""</f>
        <v/>
      </c>
      <c r="AZ52" s="41" t="str">
        <f>""</f>
        <v/>
      </c>
      <c r="BA52" s="41" t="str">
        <f>""</f>
        <v/>
      </c>
      <c r="BB52" s="41" t="str">
        <f>""</f>
        <v/>
      </c>
      <c r="BC52" s="41" t="str">
        <f>""</f>
        <v/>
      </c>
      <c r="BD52" s="41" t="str">
        <f>""</f>
        <v/>
      </c>
      <c r="BE52" s="51"/>
      <c r="BF52" s="51"/>
      <c r="BG52" s="25" t="s">
        <v>324</v>
      </c>
    </row>
    <row r="53" spans="1:59" ht="15" customHeight="1" x14ac:dyDescent="0.25">
      <c r="A53" s="25" t="str">
        <f t="shared" si="4"/>
        <v>PE220002063CA</v>
      </c>
      <c r="B53" s="25" t="s">
        <v>335</v>
      </c>
      <c r="C53" s="25" t="s">
        <v>304</v>
      </c>
      <c r="D53" s="25" t="s">
        <v>286</v>
      </c>
      <c r="E53" s="25" t="s">
        <v>93</v>
      </c>
      <c r="F53" s="25" t="s">
        <v>1</v>
      </c>
      <c r="G53" s="25">
        <v>2000</v>
      </c>
      <c r="H53" s="25">
        <v>2063</v>
      </c>
      <c r="I53" s="25" t="s">
        <v>47</v>
      </c>
      <c r="J53" s="25">
        <v>21707133</v>
      </c>
      <c r="K53" s="25" t="s">
        <v>48</v>
      </c>
      <c r="L53" s="25">
        <v>2</v>
      </c>
      <c r="M53" s="25" t="s">
        <v>49</v>
      </c>
      <c r="N53" s="25" t="str">
        <f>""</f>
        <v/>
      </c>
      <c r="O53" s="25" t="s">
        <v>47</v>
      </c>
      <c r="P53" s="25">
        <v>21707132</v>
      </c>
      <c r="Q53" s="25" t="s">
        <v>50</v>
      </c>
      <c r="R53" s="25">
        <v>1</v>
      </c>
      <c r="S53" s="25" t="s">
        <v>49</v>
      </c>
      <c r="T53" s="25" t="str">
        <f>""</f>
        <v/>
      </c>
      <c r="U53" s="25" t="s">
        <v>47</v>
      </c>
      <c r="V53" s="25">
        <v>22480372</v>
      </c>
      <c r="W53" s="25" t="s">
        <v>52</v>
      </c>
      <c r="X53" s="25">
        <v>1</v>
      </c>
      <c r="Y53" s="25" t="s">
        <v>49</v>
      </c>
      <c r="Z53" s="25" t="str">
        <f>""</f>
        <v/>
      </c>
      <c r="AA53" s="25" t="s">
        <v>47</v>
      </c>
      <c r="AB53" s="25">
        <v>20998367</v>
      </c>
      <c r="AC53" s="25" t="s">
        <v>126</v>
      </c>
      <c r="AD53" s="25">
        <v>1</v>
      </c>
      <c r="AE53" s="25" t="s">
        <v>49</v>
      </c>
      <c r="AF53" s="25" t="str">
        <f>""</f>
        <v/>
      </c>
      <c r="AG53" s="25" t="s">
        <v>1</v>
      </c>
      <c r="AH53" s="25">
        <v>20002050</v>
      </c>
      <c r="AI53" s="25" t="s">
        <v>136</v>
      </c>
      <c r="AJ53" s="25">
        <v>1</v>
      </c>
      <c r="AK53" s="25" t="s">
        <v>49</v>
      </c>
      <c r="AL53" s="25" t="str">
        <f>""</f>
        <v/>
      </c>
      <c r="AM53" s="25" t="s">
        <v>47</v>
      </c>
      <c r="AN53" s="34">
        <v>23068344</v>
      </c>
      <c r="AO53" s="25" t="s">
        <v>59</v>
      </c>
      <c r="AP53" s="25">
        <v>38</v>
      </c>
      <c r="AQ53" s="25" t="s">
        <v>53</v>
      </c>
      <c r="AR53" s="25" t="s">
        <v>51</v>
      </c>
      <c r="AS53" s="25" t="str">
        <f>""</f>
        <v/>
      </c>
      <c r="AT53" s="25" t="str">
        <f>""</f>
        <v/>
      </c>
      <c r="AU53" s="25" t="str">
        <f>""</f>
        <v/>
      </c>
      <c r="AV53" s="25" t="s">
        <v>66</v>
      </c>
      <c r="AW53" s="25" t="s">
        <v>66</v>
      </c>
      <c r="AX53" s="41" t="str">
        <f>""</f>
        <v/>
      </c>
      <c r="AY53" s="41" t="str">
        <f>""</f>
        <v/>
      </c>
      <c r="AZ53" s="41" t="str">
        <f>""</f>
        <v/>
      </c>
      <c r="BA53" s="41" t="str">
        <f>""</f>
        <v/>
      </c>
      <c r="BB53" s="41" t="str">
        <f>""</f>
        <v/>
      </c>
      <c r="BC53" s="41" t="str">
        <f>""</f>
        <v/>
      </c>
      <c r="BD53" s="41" t="str">
        <f>""</f>
        <v/>
      </c>
      <c r="BE53" s="51"/>
      <c r="BF53" s="51"/>
      <c r="BG53" s="25" t="s">
        <v>324</v>
      </c>
    </row>
    <row r="54" spans="1:59" ht="15.75" customHeight="1" x14ac:dyDescent="0.25">
      <c r="A54" s="25" t="str">
        <f t="shared" si="4"/>
        <v>PE220002048CA</v>
      </c>
      <c r="B54" s="25" t="s">
        <v>335</v>
      </c>
      <c r="C54" s="39" t="s">
        <v>305</v>
      </c>
      <c r="D54" s="39" t="s">
        <v>289</v>
      </c>
      <c r="E54" s="25" t="s">
        <v>190</v>
      </c>
      <c r="F54" s="39" t="s">
        <v>1</v>
      </c>
      <c r="G54" s="39">
        <v>2000</v>
      </c>
      <c r="H54" s="39">
        <v>2048</v>
      </c>
      <c r="I54" s="39" t="s">
        <v>47</v>
      </c>
      <c r="J54" s="39">
        <v>20998807</v>
      </c>
      <c r="K54" s="39" t="s">
        <v>345</v>
      </c>
      <c r="L54" s="39">
        <v>1</v>
      </c>
      <c r="M54" s="39" t="s">
        <v>49</v>
      </c>
      <c r="N54" s="39" t="str">
        <f>""</f>
        <v/>
      </c>
      <c r="O54" s="39" t="s">
        <v>47</v>
      </c>
      <c r="P54" s="39">
        <v>20998805</v>
      </c>
      <c r="Q54" s="39" t="s">
        <v>346</v>
      </c>
      <c r="R54" s="39">
        <v>1</v>
      </c>
      <c r="S54" s="39" t="s">
        <v>49</v>
      </c>
      <c r="T54" s="39" t="str">
        <f>""</f>
        <v/>
      </c>
      <c r="U54" s="39" t="s">
        <v>47</v>
      </c>
      <c r="V54" s="39">
        <v>21380408</v>
      </c>
      <c r="W54" s="39" t="s">
        <v>349</v>
      </c>
      <c r="X54" s="39">
        <v>1</v>
      </c>
      <c r="Y54" s="39" t="s">
        <v>49</v>
      </c>
      <c r="Z54" s="39" t="str">
        <f>""</f>
        <v/>
      </c>
      <c r="AA54" s="39" t="s">
        <v>1</v>
      </c>
      <c r="AB54" s="39">
        <v>20002050</v>
      </c>
      <c r="AC54" s="39" t="s">
        <v>136</v>
      </c>
      <c r="AD54" s="39">
        <v>1</v>
      </c>
      <c r="AE54" s="39" t="s">
        <v>49</v>
      </c>
      <c r="AF54" s="39" t="str">
        <f>""</f>
        <v/>
      </c>
      <c r="AG54" s="39" t="s">
        <v>47</v>
      </c>
      <c r="AH54" s="39">
        <v>23068344</v>
      </c>
      <c r="AI54" s="25" t="s">
        <v>127</v>
      </c>
      <c r="AJ54" s="39">
        <v>19</v>
      </c>
      <c r="AK54" s="39" t="s">
        <v>53</v>
      </c>
      <c r="AL54" s="39" t="s">
        <v>51</v>
      </c>
      <c r="AM54" s="39" t="s">
        <v>47</v>
      </c>
      <c r="AN54" s="40">
        <v>23068343</v>
      </c>
      <c r="AO54" s="39" t="s">
        <v>64</v>
      </c>
      <c r="AP54" s="39">
        <v>2</v>
      </c>
      <c r="AQ54" s="39" t="s">
        <v>65</v>
      </c>
      <c r="AR54" s="39" t="str">
        <f>""</f>
        <v/>
      </c>
      <c r="AS54" s="25" t="str">
        <f>""</f>
        <v/>
      </c>
      <c r="AT54" s="25" t="str">
        <f>""</f>
        <v/>
      </c>
      <c r="AU54" s="25" t="str">
        <f>""</f>
        <v/>
      </c>
      <c r="AV54" s="25" t="s">
        <v>66</v>
      </c>
      <c r="AW54" s="25" t="s">
        <v>66</v>
      </c>
      <c r="AX54" s="41" t="str">
        <f>""</f>
        <v/>
      </c>
      <c r="AY54" s="41" t="str">
        <f>""</f>
        <v/>
      </c>
      <c r="AZ54" s="41" t="str">
        <f>""</f>
        <v/>
      </c>
      <c r="BA54" s="41" t="str">
        <f>""</f>
        <v/>
      </c>
      <c r="BB54" s="41" t="str">
        <f>""</f>
        <v/>
      </c>
      <c r="BC54" s="41" t="str">
        <f>""</f>
        <v/>
      </c>
      <c r="BD54" s="43" t="str">
        <f>""</f>
        <v/>
      </c>
      <c r="BE54" s="52"/>
      <c r="BF54" s="52"/>
      <c r="BG54" s="25" t="s">
        <v>324</v>
      </c>
    </row>
    <row r="55" spans="1:59" ht="17.25" customHeight="1" x14ac:dyDescent="0.25">
      <c r="A55" s="25" t="str">
        <f t="shared" si="4"/>
        <v>PE620006184CA</v>
      </c>
      <c r="B55" s="25" t="s">
        <v>335</v>
      </c>
      <c r="C55" s="25" t="s">
        <v>306</v>
      </c>
      <c r="D55" s="25" t="s">
        <v>307</v>
      </c>
      <c r="E55" s="25" t="s">
        <v>212</v>
      </c>
      <c r="F55" s="25" t="s">
        <v>68</v>
      </c>
      <c r="G55" s="25">
        <v>2000</v>
      </c>
      <c r="H55" s="25">
        <v>6184</v>
      </c>
      <c r="I55" s="25" t="s">
        <v>69</v>
      </c>
      <c r="J55" s="25">
        <v>21939298</v>
      </c>
      <c r="K55" s="25" t="s">
        <v>50</v>
      </c>
      <c r="L55" s="25">
        <v>2</v>
      </c>
      <c r="M55" s="25" t="s">
        <v>49</v>
      </c>
      <c r="N55" s="25" t="str">
        <f>""</f>
        <v/>
      </c>
      <c r="O55" s="25" t="s">
        <v>69</v>
      </c>
      <c r="P55" s="25">
        <v>25502421</v>
      </c>
      <c r="Q55" s="25" t="s">
        <v>350</v>
      </c>
      <c r="R55" s="25">
        <v>1</v>
      </c>
      <c r="S55" s="25" t="s">
        <v>49</v>
      </c>
      <c r="T55" s="25" t="str">
        <f>""</f>
        <v/>
      </c>
      <c r="U55" s="25" t="s">
        <v>68</v>
      </c>
      <c r="V55" s="25">
        <v>2006050</v>
      </c>
      <c r="W55" s="25" t="s">
        <v>351</v>
      </c>
      <c r="X55" s="25">
        <v>1</v>
      </c>
      <c r="Y55" s="25" t="s">
        <v>49</v>
      </c>
      <c r="Z55" s="25" t="str">
        <f>""</f>
        <v/>
      </c>
      <c r="AA55" s="25" t="s">
        <v>69</v>
      </c>
      <c r="AB55" s="25" t="s">
        <v>72</v>
      </c>
      <c r="AC55" s="25" t="s">
        <v>73</v>
      </c>
      <c r="AD55" s="25">
        <v>38</v>
      </c>
      <c r="AE55" s="25" t="s">
        <v>53</v>
      </c>
      <c r="AF55" s="25" t="s">
        <v>51</v>
      </c>
      <c r="AG55" s="25" t="str">
        <f>""</f>
        <v/>
      </c>
      <c r="AH55" s="25" t="str">
        <f>""</f>
        <v/>
      </c>
      <c r="AI55" s="25" t="str">
        <f>""</f>
        <v/>
      </c>
      <c r="AJ55" s="25" t="str">
        <f>""</f>
        <v/>
      </c>
      <c r="AK55" s="25" t="str">
        <f>""</f>
        <v/>
      </c>
      <c r="AL55" s="25" t="str">
        <f>""</f>
        <v/>
      </c>
      <c r="AM55" s="25" t="str">
        <f>""</f>
        <v/>
      </c>
      <c r="AN55" s="25" t="str">
        <f>""</f>
        <v/>
      </c>
      <c r="AO55" s="25" t="str">
        <f>""</f>
        <v/>
      </c>
      <c r="AP55" s="25" t="str">
        <f>""</f>
        <v/>
      </c>
      <c r="AQ55" s="25" t="str">
        <f>""</f>
        <v/>
      </c>
      <c r="AR55" s="25" t="str">
        <f>""</f>
        <v/>
      </c>
      <c r="AS55" s="25" t="str">
        <f>""</f>
        <v/>
      </c>
      <c r="AT55" s="25" t="str">
        <f>""</f>
        <v/>
      </c>
      <c r="AU55" s="25" t="str">
        <f>""</f>
        <v/>
      </c>
      <c r="AV55" s="25" t="str">
        <f>""</f>
        <v/>
      </c>
      <c r="AW55" s="25" t="str">
        <f>""</f>
        <v/>
      </c>
      <c r="AX55" s="25" t="str">
        <f>""</f>
        <v/>
      </c>
      <c r="AY55" s="25" t="str">
        <f>""</f>
        <v/>
      </c>
      <c r="AZ55" s="25" t="str">
        <f>""</f>
        <v/>
      </c>
      <c r="BA55" s="25" t="str">
        <f>""</f>
        <v/>
      </c>
      <c r="BB55" s="25" t="str">
        <f>""</f>
        <v/>
      </c>
      <c r="BC55" s="25" t="str">
        <f>""</f>
        <v/>
      </c>
      <c r="BD55" s="25" t="str">
        <f>""</f>
        <v/>
      </c>
      <c r="BE55" s="51"/>
      <c r="BF55" s="51"/>
      <c r="BG55" s="25" t="s">
        <v>325</v>
      </c>
    </row>
    <row r="56" spans="1:59" ht="17.25" customHeight="1" x14ac:dyDescent="0.25">
      <c r="A56" s="25" t="str">
        <f t="shared" si="4"/>
        <v>PE620006186CA</v>
      </c>
      <c r="B56" s="25" t="s">
        <v>335</v>
      </c>
      <c r="C56" s="25" t="s">
        <v>308</v>
      </c>
      <c r="D56" s="25" t="s">
        <v>280</v>
      </c>
      <c r="E56" s="25" t="s">
        <v>67</v>
      </c>
      <c r="F56" s="25" t="s">
        <v>68</v>
      </c>
      <c r="G56" s="25">
        <v>2000</v>
      </c>
      <c r="H56" s="25">
        <v>6186</v>
      </c>
      <c r="I56" s="25" t="s">
        <v>69</v>
      </c>
      <c r="J56" s="25">
        <v>21707136</v>
      </c>
      <c r="K56" s="25" t="s">
        <v>50</v>
      </c>
      <c r="L56" s="25">
        <v>2</v>
      </c>
      <c r="M56" s="25" t="s">
        <v>49</v>
      </c>
      <c r="N56" s="25" t="str">
        <f>""</f>
        <v/>
      </c>
      <c r="O56" s="25" t="s">
        <v>69</v>
      </c>
      <c r="P56" s="25">
        <v>21707135</v>
      </c>
      <c r="Q56" s="25" t="s">
        <v>50</v>
      </c>
      <c r="R56" s="25">
        <v>1</v>
      </c>
      <c r="S56" s="25" t="s">
        <v>49</v>
      </c>
      <c r="T56" s="25" t="str">
        <f>""</f>
        <v/>
      </c>
      <c r="U56" s="25" t="s">
        <v>69</v>
      </c>
      <c r="V56" s="25">
        <v>20972295</v>
      </c>
      <c r="W56" s="25" t="s">
        <v>52</v>
      </c>
      <c r="X56" s="25">
        <v>1</v>
      </c>
      <c r="Y56" s="25" t="s">
        <v>49</v>
      </c>
      <c r="Z56" s="25" t="str">
        <f>""</f>
        <v/>
      </c>
      <c r="AA56" s="25" t="s">
        <v>69</v>
      </c>
      <c r="AB56" s="25" t="s">
        <v>70</v>
      </c>
      <c r="AC56" s="25" t="s">
        <v>71</v>
      </c>
      <c r="AD56" s="25">
        <v>1</v>
      </c>
      <c r="AE56" s="25" t="s">
        <v>49</v>
      </c>
      <c r="AF56" s="25" t="str">
        <f>""</f>
        <v/>
      </c>
      <c r="AG56" s="25" t="s">
        <v>68</v>
      </c>
      <c r="AH56" s="25">
        <v>2006050</v>
      </c>
      <c r="AI56" s="25" t="s">
        <v>351</v>
      </c>
      <c r="AJ56" s="25">
        <v>1</v>
      </c>
      <c r="AK56" s="25" t="s">
        <v>49</v>
      </c>
      <c r="AL56" s="25" t="s">
        <v>66</v>
      </c>
      <c r="AM56" s="25" t="s">
        <v>69</v>
      </c>
      <c r="AN56" s="34" t="s">
        <v>72</v>
      </c>
      <c r="AO56" s="25" t="s">
        <v>73</v>
      </c>
      <c r="AP56" s="25">
        <v>38</v>
      </c>
      <c r="AQ56" s="25" t="s">
        <v>53</v>
      </c>
      <c r="AR56" s="25" t="s">
        <v>51</v>
      </c>
      <c r="AS56" s="25"/>
      <c r="AT56" s="25"/>
      <c r="AU56" s="25"/>
      <c r="AV56" s="25"/>
      <c r="AW56" s="25"/>
      <c r="AX56" s="41" t="str">
        <f>""</f>
        <v/>
      </c>
      <c r="AY56" s="41" t="str">
        <f>""</f>
        <v/>
      </c>
      <c r="AZ56" s="41" t="str">
        <f>""</f>
        <v/>
      </c>
      <c r="BA56" s="41" t="str">
        <f>""</f>
        <v/>
      </c>
      <c r="BB56" s="41" t="str">
        <f>""</f>
        <v/>
      </c>
      <c r="BC56" s="41" t="str">
        <f>""</f>
        <v/>
      </c>
      <c r="BD56" s="41" t="str">
        <f>""</f>
        <v/>
      </c>
      <c r="BE56" s="51"/>
      <c r="BF56" s="51"/>
      <c r="BG56" s="25" t="s">
        <v>325</v>
      </c>
    </row>
    <row r="57" spans="1:59" ht="17.25" customHeight="1" x14ac:dyDescent="0.25">
      <c r="A57" s="25" t="str">
        <f t="shared" si="4"/>
        <v>PE620006188CA</v>
      </c>
      <c r="B57" s="25" t="s">
        <v>335</v>
      </c>
      <c r="C57" s="25" t="s">
        <v>309</v>
      </c>
      <c r="D57" s="25" t="s">
        <v>292</v>
      </c>
      <c r="E57" s="25" t="s">
        <v>215</v>
      </c>
      <c r="F57" s="25" t="s">
        <v>68</v>
      </c>
      <c r="G57" s="25">
        <v>2000</v>
      </c>
      <c r="H57" s="25">
        <v>6188</v>
      </c>
      <c r="I57" s="25" t="s">
        <v>69</v>
      </c>
      <c r="J57" s="25">
        <v>21707136</v>
      </c>
      <c r="K57" s="25" t="s">
        <v>50</v>
      </c>
      <c r="L57" s="25">
        <v>10</v>
      </c>
      <c r="M57" s="25" t="s">
        <v>49</v>
      </c>
      <c r="N57" s="25" t="str">
        <f>""</f>
        <v/>
      </c>
      <c r="O57" s="25" t="s">
        <v>69</v>
      </c>
      <c r="P57" s="25">
        <v>21707135</v>
      </c>
      <c r="Q57" s="25" t="s">
        <v>50</v>
      </c>
      <c r="R57" s="25">
        <v>5</v>
      </c>
      <c r="S57" s="25" t="s">
        <v>49</v>
      </c>
      <c r="T57" s="25" t="str">
        <f>""</f>
        <v/>
      </c>
      <c r="U57" s="25" t="s">
        <v>69</v>
      </c>
      <c r="V57" s="25">
        <v>20972295</v>
      </c>
      <c r="W57" s="25" t="s">
        <v>52</v>
      </c>
      <c r="X57" s="25">
        <v>5</v>
      </c>
      <c r="Y57" s="25" t="s">
        <v>49</v>
      </c>
      <c r="Z57" s="25" t="str">
        <f>""</f>
        <v/>
      </c>
      <c r="AA57" s="25" t="s">
        <v>69</v>
      </c>
      <c r="AB57" s="25" t="s">
        <v>70</v>
      </c>
      <c r="AC57" s="25" t="s">
        <v>71</v>
      </c>
      <c r="AD57" s="25">
        <v>5</v>
      </c>
      <c r="AE57" s="25" t="s">
        <v>49</v>
      </c>
      <c r="AF57" s="25" t="str">
        <f>""</f>
        <v/>
      </c>
      <c r="AG57" s="25" t="s">
        <v>68</v>
      </c>
      <c r="AH57" s="25">
        <v>2006050</v>
      </c>
      <c r="AI57" s="25" t="s">
        <v>351</v>
      </c>
      <c r="AJ57" s="25">
        <v>5</v>
      </c>
      <c r="AK57" s="25" t="s">
        <v>49</v>
      </c>
      <c r="AL57" s="25" t="str">
        <f>""</f>
        <v/>
      </c>
      <c r="AM57" s="25" t="s">
        <v>69</v>
      </c>
      <c r="AN57" s="34" t="s">
        <v>91</v>
      </c>
      <c r="AO57" s="25" t="s">
        <v>73</v>
      </c>
      <c r="AP57" s="25">
        <v>208</v>
      </c>
      <c r="AQ57" s="25" t="s">
        <v>53</v>
      </c>
      <c r="AR57" s="25" t="s">
        <v>51</v>
      </c>
      <c r="AS57" s="41" t="str">
        <f>""</f>
        <v/>
      </c>
      <c r="AT57" s="41" t="str">
        <f>""</f>
        <v/>
      </c>
      <c r="AU57" s="41" t="str">
        <f>""</f>
        <v/>
      </c>
      <c r="AV57" s="41" t="str">
        <f>""</f>
        <v/>
      </c>
      <c r="AW57" s="41" t="str">
        <f>""</f>
        <v/>
      </c>
      <c r="AX57" s="41" t="str">
        <f>""</f>
        <v/>
      </c>
      <c r="AY57" s="41" t="str">
        <f>""</f>
        <v/>
      </c>
      <c r="AZ57" s="41" t="str">
        <f>""</f>
        <v/>
      </c>
      <c r="BA57" s="41" t="str">
        <f>""</f>
        <v/>
      </c>
      <c r="BB57" s="41" t="str">
        <f>""</f>
        <v/>
      </c>
      <c r="BC57" s="41" t="str">
        <f>""</f>
        <v/>
      </c>
      <c r="BD57" s="41" t="str">
        <f>""</f>
        <v/>
      </c>
      <c r="BE57" s="51"/>
      <c r="BF57" s="51"/>
      <c r="BG57" s="25" t="s">
        <v>325</v>
      </c>
    </row>
    <row r="58" spans="1:59" ht="17.25" customHeight="1" x14ac:dyDescent="0.25">
      <c r="A58" s="25" t="str">
        <f t="shared" si="4"/>
        <v>PE120001251CA</v>
      </c>
      <c r="B58" s="25" t="s">
        <v>335</v>
      </c>
      <c r="C58" s="25" t="s">
        <v>310</v>
      </c>
      <c r="D58" s="25" t="s">
        <v>261</v>
      </c>
      <c r="E58" s="25" t="s">
        <v>80</v>
      </c>
      <c r="F58" s="25" t="s">
        <v>81</v>
      </c>
      <c r="G58" s="25">
        <v>2000</v>
      </c>
      <c r="H58" s="25">
        <v>1251</v>
      </c>
      <c r="I58" s="25" t="s">
        <v>47</v>
      </c>
      <c r="J58" s="25">
        <v>21707133</v>
      </c>
      <c r="K58" s="25" t="s">
        <v>48</v>
      </c>
      <c r="L58" s="25">
        <v>2</v>
      </c>
      <c r="M58" s="25" t="s">
        <v>49</v>
      </c>
      <c r="N58" s="25" t="str">
        <f>""</f>
        <v/>
      </c>
      <c r="O58" s="25" t="s">
        <v>47</v>
      </c>
      <c r="P58" s="25">
        <v>21707132</v>
      </c>
      <c r="Q58" s="25" t="s">
        <v>50</v>
      </c>
      <c r="R58" s="25">
        <v>1</v>
      </c>
      <c r="S58" s="25" t="s">
        <v>49</v>
      </c>
      <c r="T58" s="25" t="str">
        <f>""</f>
        <v/>
      </c>
      <c r="U58" s="25" t="s">
        <v>82</v>
      </c>
      <c r="V58" s="25">
        <v>15126069</v>
      </c>
      <c r="W58" s="25" t="s">
        <v>52</v>
      </c>
      <c r="X58" s="25">
        <v>1</v>
      </c>
      <c r="Y58" s="25" t="s">
        <v>49</v>
      </c>
      <c r="Z58" s="25" t="str">
        <f>""</f>
        <v/>
      </c>
      <c r="AA58" s="25" t="s">
        <v>82</v>
      </c>
      <c r="AB58" s="25">
        <v>11110683</v>
      </c>
      <c r="AC58" s="25" t="s">
        <v>342</v>
      </c>
      <c r="AD58" s="25">
        <v>1</v>
      </c>
      <c r="AE58" s="25" t="s">
        <v>49</v>
      </c>
      <c r="AF58" s="25" t="str">
        <f>""</f>
        <v/>
      </c>
      <c r="AG58" s="25" t="s">
        <v>1</v>
      </c>
      <c r="AH58" s="25">
        <v>20002050</v>
      </c>
      <c r="AI58" s="25" t="s">
        <v>136</v>
      </c>
      <c r="AJ58" s="25">
        <v>1</v>
      </c>
      <c r="AK58" s="25" t="s">
        <v>49</v>
      </c>
      <c r="AL58" s="25" t="s">
        <v>66</v>
      </c>
      <c r="AM58" s="25" t="s">
        <v>47</v>
      </c>
      <c r="AN58" s="34">
        <v>23068344</v>
      </c>
      <c r="AO58" s="25" t="s">
        <v>54</v>
      </c>
      <c r="AP58" s="25">
        <v>19</v>
      </c>
      <c r="AQ58" s="25" t="s">
        <v>53</v>
      </c>
      <c r="AR58" s="25" t="s">
        <v>51</v>
      </c>
      <c r="AS58" s="25" t="s">
        <v>47</v>
      </c>
      <c r="AT58" s="25">
        <v>23068344</v>
      </c>
      <c r="AU58" s="25" t="s">
        <v>54</v>
      </c>
      <c r="AV58" s="25">
        <v>57</v>
      </c>
      <c r="AW58" s="25" t="s">
        <v>53</v>
      </c>
      <c r="AX58" s="41" t="str">
        <f>""</f>
        <v/>
      </c>
      <c r="AY58" s="41" t="str">
        <f>""</f>
        <v/>
      </c>
      <c r="AZ58" s="41" t="str">
        <f>""</f>
        <v/>
      </c>
      <c r="BA58" s="41" t="str">
        <f>""</f>
        <v/>
      </c>
      <c r="BB58" s="41" t="str">
        <f>""</f>
        <v/>
      </c>
      <c r="BC58" s="41" t="str">
        <f>""</f>
        <v/>
      </c>
      <c r="BD58" s="41" t="str">
        <f>""</f>
        <v/>
      </c>
      <c r="BE58" s="51"/>
      <c r="BF58" s="51"/>
      <c r="BG58" s="25" t="s">
        <v>326</v>
      </c>
    </row>
    <row r="59" spans="1:59" ht="17.25" customHeight="1" x14ac:dyDescent="0.25">
      <c r="A59" s="25" t="str">
        <f t="shared" si="4"/>
        <v>PE120001253CA</v>
      </c>
      <c r="B59" s="25" t="s">
        <v>335</v>
      </c>
      <c r="C59" s="25" t="s">
        <v>311</v>
      </c>
      <c r="D59" s="25" t="s">
        <v>262</v>
      </c>
      <c r="E59" s="25" t="s">
        <v>101</v>
      </c>
      <c r="F59" s="25" t="s">
        <v>81</v>
      </c>
      <c r="G59" s="25">
        <v>2000</v>
      </c>
      <c r="H59" s="25">
        <v>1253</v>
      </c>
      <c r="I59" s="25" t="s">
        <v>82</v>
      </c>
      <c r="J59" s="25">
        <v>17457469</v>
      </c>
      <c r="K59" s="25" t="s">
        <v>50</v>
      </c>
      <c r="L59" s="25">
        <v>1</v>
      </c>
      <c r="M59" s="25" t="s">
        <v>49</v>
      </c>
      <c r="N59" s="25" t="str">
        <f>""</f>
        <v/>
      </c>
      <c r="O59" s="25" t="s">
        <v>82</v>
      </c>
      <c r="P59" s="25">
        <v>20805349</v>
      </c>
      <c r="Q59" s="25" t="s">
        <v>52</v>
      </c>
      <c r="R59" s="25">
        <v>1</v>
      </c>
      <c r="S59" s="25" t="s">
        <v>49</v>
      </c>
      <c r="T59" s="25" t="str">
        <f>""</f>
        <v/>
      </c>
      <c r="U59" s="25" t="s">
        <v>82</v>
      </c>
      <c r="V59" s="25">
        <v>11110683</v>
      </c>
      <c r="W59" s="25" t="s">
        <v>342</v>
      </c>
      <c r="X59" s="25">
        <v>1</v>
      </c>
      <c r="Y59" s="25" t="s">
        <v>49</v>
      </c>
      <c r="Z59" s="25" t="str">
        <f>""</f>
        <v/>
      </c>
      <c r="AA59" s="25" t="s">
        <v>1</v>
      </c>
      <c r="AB59" s="25">
        <v>20002050</v>
      </c>
      <c r="AC59" s="25" t="s">
        <v>136</v>
      </c>
      <c r="AD59" s="25">
        <v>1</v>
      </c>
      <c r="AE59" s="25" t="s">
        <v>49</v>
      </c>
      <c r="AF59" s="25" t="str">
        <f>""</f>
        <v/>
      </c>
      <c r="AG59" s="25" t="s">
        <v>47</v>
      </c>
      <c r="AH59" s="25">
        <v>23068344</v>
      </c>
      <c r="AI59" s="25" t="s">
        <v>127</v>
      </c>
      <c r="AJ59" s="25">
        <v>38</v>
      </c>
      <c r="AK59" s="25" t="s">
        <v>53</v>
      </c>
      <c r="AL59" s="25" t="s">
        <v>51</v>
      </c>
      <c r="AM59" s="25" t="str">
        <f>""</f>
        <v/>
      </c>
      <c r="AN59" s="34" t="str">
        <f>""</f>
        <v/>
      </c>
      <c r="AO59" s="25" t="str">
        <f>""</f>
        <v/>
      </c>
      <c r="AP59" s="25" t="str">
        <f>""</f>
        <v/>
      </c>
      <c r="AQ59" s="25" t="str">
        <f>""</f>
        <v/>
      </c>
      <c r="AR59" s="25" t="str">
        <f>""</f>
        <v/>
      </c>
      <c r="AS59" s="25" t="str">
        <f>""</f>
        <v/>
      </c>
      <c r="AT59" s="25" t="str">
        <f>""</f>
        <v/>
      </c>
      <c r="AU59" s="25" t="str">
        <f>""</f>
        <v/>
      </c>
      <c r="AV59" s="25" t="str">
        <f>""</f>
        <v/>
      </c>
      <c r="AW59" s="25" t="str">
        <f>""</f>
        <v/>
      </c>
      <c r="AX59" s="41" t="str">
        <f>""</f>
        <v/>
      </c>
      <c r="AY59" s="41" t="str">
        <f>""</f>
        <v/>
      </c>
      <c r="AZ59" s="41" t="str">
        <f>""</f>
        <v/>
      </c>
      <c r="BA59" s="41" t="str">
        <f>""</f>
        <v/>
      </c>
      <c r="BB59" s="41" t="str">
        <f>""</f>
        <v/>
      </c>
      <c r="BC59" s="41" t="str">
        <f>""</f>
        <v/>
      </c>
      <c r="BD59" s="41" t="str">
        <f>""</f>
        <v/>
      </c>
      <c r="BE59" s="51"/>
      <c r="BF59" s="51"/>
      <c r="BG59" s="25" t="s">
        <v>326</v>
      </c>
    </row>
    <row r="60" spans="1:59" ht="17.25" customHeight="1" x14ac:dyDescent="0.25">
      <c r="A60" s="25" t="str">
        <f t="shared" si="4"/>
        <v>PE120001255CA</v>
      </c>
      <c r="B60" s="25" t="s">
        <v>335</v>
      </c>
      <c r="C60" s="25" t="s">
        <v>312</v>
      </c>
      <c r="D60" s="25" t="s">
        <v>263</v>
      </c>
      <c r="E60" s="25" t="s">
        <v>102</v>
      </c>
      <c r="F60" s="25" t="s">
        <v>81</v>
      </c>
      <c r="G60" s="25">
        <v>2000</v>
      </c>
      <c r="H60" s="25">
        <v>1255</v>
      </c>
      <c r="I60" s="25" t="s">
        <v>82</v>
      </c>
      <c r="J60" s="25">
        <v>17457469</v>
      </c>
      <c r="K60" s="25" t="s">
        <v>50</v>
      </c>
      <c r="L60" s="25">
        <v>1</v>
      </c>
      <c r="M60" s="25" t="s">
        <v>49</v>
      </c>
      <c r="N60" s="25" t="str">
        <f>""</f>
        <v/>
      </c>
      <c r="O60" s="25" t="s">
        <v>47</v>
      </c>
      <c r="P60" s="25">
        <v>466987</v>
      </c>
      <c r="Q60" s="25" t="s">
        <v>61</v>
      </c>
      <c r="R60" s="25">
        <v>1</v>
      </c>
      <c r="S60" s="25" t="s">
        <v>49</v>
      </c>
      <c r="T60" s="25" t="str">
        <f>""</f>
        <v/>
      </c>
      <c r="U60" s="25" t="s">
        <v>47</v>
      </c>
      <c r="V60" s="25">
        <v>11110668</v>
      </c>
      <c r="W60" s="25" t="s">
        <v>122</v>
      </c>
      <c r="X60" s="25">
        <v>1</v>
      </c>
      <c r="Y60" s="25" t="s">
        <v>49</v>
      </c>
      <c r="Z60" s="25" t="str">
        <f>""</f>
        <v/>
      </c>
      <c r="AA60" s="25" t="s">
        <v>1</v>
      </c>
      <c r="AB60" s="25">
        <v>20002050</v>
      </c>
      <c r="AC60" s="25" t="s">
        <v>136</v>
      </c>
      <c r="AD60" s="25">
        <v>1</v>
      </c>
      <c r="AE60" s="25" t="s">
        <v>49</v>
      </c>
      <c r="AF60" s="25" t="str">
        <f>""</f>
        <v/>
      </c>
      <c r="AG60" s="25" t="s">
        <v>47</v>
      </c>
      <c r="AH60" s="25">
        <v>23068344</v>
      </c>
      <c r="AI60" s="25" t="s">
        <v>127</v>
      </c>
      <c r="AJ60" s="25">
        <v>19</v>
      </c>
      <c r="AK60" s="25" t="s">
        <v>53</v>
      </c>
      <c r="AL60" s="25" t="s">
        <v>51</v>
      </c>
      <c r="AM60" s="25" t="str">
        <f>""</f>
        <v/>
      </c>
      <c r="AN60" s="34" t="str">
        <f>""</f>
        <v/>
      </c>
      <c r="AO60" s="25" t="str">
        <f>""</f>
        <v/>
      </c>
      <c r="AP60" s="25" t="str">
        <f>""</f>
        <v/>
      </c>
      <c r="AQ60" s="25" t="str">
        <f>""</f>
        <v/>
      </c>
      <c r="AR60" s="25" t="str">
        <f>""</f>
        <v/>
      </c>
      <c r="AS60" s="25" t="str">
        <f>""</f>
        <v/>
      </c>
      <c r="AT60" s="25" t="str">
        <f>""</f>
        <v/>
      </c>
      <c r="AU60" s="25" t="str">
        <f>""</f>
        <v/>
      </c>
      <c r="AV60" s="25" t="str">
        <f>""</f>
        <v/>
      </c>
      <c r="AW60" s="25" t="str">
        <f>""</f>
        <v/>
      </c>
      <c r="AX60" s="41" t="str">
        <f>""</f>
        <v/>
      </c>
      <c r="AY60" s="41" t="str">
        <f>""</f>
        <v/>
      </c>
      <c r="AZ60" s="41" t="str">
        <f>""</f>
        <v/>
      </c>
      <c r="BA60" s="41" t="str">
        <f>""</f>
        <v/>
      </c>
      <c r="BB60" s="41" t="str">
        <f>""</f>
        <v/>
      </c>
      <c r="BC60" s="41" t="str">
        <f>""</f>
        <v/>
      </c>
      <c r="BD60" s="41" t="str">
        <f>""</f>
        <v/>
      </c>
      <c r="BE60" s="51"/>
      <c r="BF60" s="51"/>
      <c r="BG60" s="25" t="s">
        <v>326</v>
      </c>
    </row>
    <row r="61" spans="1:59" ht="17.25" customHeight="1" x14ac:dyDescent="0.25">
      <c r="A61" s="25" t="str">
        <f t="shared" si="4"/>
        <v>PE120001257CA</v>
      </c>
      <c r="B61" s="25" t="s">
        <v>335</v>
      </c>
      <c r="C61" s="25" t="s">
        <v>313</v>
      </c>
      <c r="D61" s="25" t="s">
        <v>264</v>
      </c>
      <c r="E61" s="25" t="s">
        <v>103</v>
      </c>
      <c r="F61" s="25" t="s">
        <v>81</v>
      </c>
      <c r="G61" s="25">
        <v>2000</v>
      </c>
      <c r="H61" s="25">
        <v>1257</v>
      </c>
      <c r="I61" s="25" t="s">
        <v>92</v>
      </c>
      <c r="J61" s="25">
        <v>43919927</v>
      </c>
      <c r="K61" s="25" t="s">
        <v>50</v>
      </c>
      <c r="L61" s="25">
        <v>1</v>
      </c>
      <c r="M61" s="25" t="s">
        <v>49</v>
      </c>
      <c r="N61" s="25" t="str">
        <f>""</f>
        <v/>
      </c>
      <c r="O61" s="25" t="s">
        <v>92</v>
      </c>
      <c r="P61" s="25">
        <v>43919935</v>
      </c>
      <c r="Q61" s="25" t="s">
        <v>52</v>
      </c>
      <c r="R61" s="25">
        <v>1</v>
      </c>
      <c r="S61" s="25" t="s">
        <v>49</v>
      </c>
      <c r="T61" s="25" t="str">
        <f>""</f>
        <v/>
      </c>
      <c r="U61" s="25" t="s">
        <v>92</v>
      </c>
      <c r="V61" s="25">
        <v>43919943</v>
      </c>
      <c r="W61" s="25" t="s">
        <v>52</v>
      </c>
      <c r="X61" s="25">
        <v>1</v>
      </c>
      <c r="Y61" s="25" t="s">
        <v>49</v>
      </c>
      <c r="Z61" s="25" t="str">
        <f>""</f>
        <v/>
      </c>
      <c r="AA61" s="25" t="s">
        <v>1</v>
      </c>
      <c r="AB61" s="25">
        <v>20002050</v>
      </c>
      <c r="AC61" s="25" t="s">
        <v>136</v>
      </c>
      <c r="AD61" s="25">
        <v>1</v>
      </c>
      <c r="AE61" s="25" t="s">
        <v>49</v>
      </c>
      <c r="AF61" s="25" t="str">
        <f>""</f>
        <v/>
      </c>
      <c r="AG61" s="25" t="s">
        <v>47</v>
      </c>
      <c r="AH61" s="25">
        <v>23068344</v>
      </c>
      <c r="AI61" s="25" t="s">
        <v>127</v>
      </c>
      <c r="AJ61" s="25">
        <v>19</v>
      </c>
      <c r="AK61" s="25" t="s">
        <v>53</v>
      </c>
      <c r="AL61" s="25" t="s">
        <v>51</v>
      </c>
      <c r="AM61" s="25" t="str">
        <f>""</f>
        <v/>
      </c>
      <c r="AN61" s="34" t="str">
        <f>""</f>
        <v/>
      </c>
      <c r="AO61" s="25" t="str">
        <f>""</f>
        <v/>
      </c>
      <c r="AP61" s="25" t="str">
        <f>""</f>
        <v/>
      </c>
      <c r="AQ61" s="25" t="str">
        <f>""</f>
        <v/>
      </c>
      <c r="AR61" s="25" t="str">
        <f>""</f>
        <v/>
      </c>
      <c r="AS61" s="25" t="str">
        <f>""</f>
        <v/>
      </c>
      <c r="AT61" s="25" t="str">
        <f>""</f>
        <v/>
      </c>
      <c r="AU61" s="25" t="str">
        <f>""</f>
        <v/>
      </c>
      <c r="AV61" s="25" t="str">
        <f>""</f>
        <v/>
      </c>
      <c r="AW61" s="25" t="str">
        <f>""</f>
        <v/>
      </c>
      <c r="AX61" s="41" t="str">
        <f>""</f>
        <v/>
      </c>
      <c r="AY61" s="41" t="str">
        <f>""</f>
        <v/>
      </c>
      <c r="AZ61" s="41" t="str">
        <f>""</f>
        <v/>
      </c>
      <c r="BA61" s="41" t="str">
        <f>""</f>
        <v/>
      </c>
      <c r="BB61" s="41" t="str">
        <f>""</f>
        <v/>
      </c>
      <c r="BC61" s="41" t="str">
        <f>""</f>
        <v/>
      </c>
      <c r="BD61" s="41" t="str">
        <f>""</f>
        <v/>
      </c>
      <c r="BE61" s="51"/>
      <c r="BF61" s="51"/>
      <c r="BG61" s="25" t="s">
        <v>326</v>
      </c>
    </row>
    <row r="62" spans="1:59" ht="17.25" customHeight="1" x14ac:dyDescent="0.25">
      <c r="A62" s="25" t="str">
        <f t="shared" si="4"/>
        <v>PE120001259CA</v>
      </c>
      <c r="B62" s="25" t="s">
        <v>335</v>
      </c>
      <c r="C62" s="25" t="s">
        <v>314</v>
      </c>
      <c r="D62" s="25" t="s">
        <v>265</v>
      </c>
      <c r="E62" s="25" t="s">
        <v>165</v>
      </c>
      <c r="F62" s="25" t="s">
        <v>81</v>
      </c>
      <c r="G62" s="25">
        <v>2000</v>
      </c>
      <c r="H62" s="25">
        <v>1259</v>
      </c>
      <c r="I62" s="25" t="s">
        <v>47</v>
      </c>
      <c r="J62" s="25">
        <v>21707134</v>
      </c>
      <c r="K62" s="25" t="s">
        <v>60</v>
      </c>
      <c r="L62" s="25">
        <v>2</v>
      </c>
      <c r="M62" s="25" t="s">
        <v>49</v>
      </c>
      <c r="N62" s="25" t="str">
        <f>""</f>
        <v/>
      </c>
      <c r="O62" s="25" t="s">
        <v>47</v>
      </c>
      <c r="P62" s="25">
        <v>466987</v>
      </c>
      <c r="Q62" s="25" t="s">
        <v>61</v>
      </c>
      <c r="R62" s="25">
        <v>2</v>
      </c>
      <c r="S62" s="25" t="s">
        <v>49</v>
      </c>
      <c r="T62" s="25" t="str">
        <f>""</f>
        <v/>
      </c>
      <c r="U62" s="25" t="s">
        <v>47</v>
      </c>
      <c r="V62" s="25">
        <v>21707132</v>
      </c>
      <c r="W62" s="25" t="s">
        <v>50</v>
      </c>
      <c r="X62" s="25">
        <v>1</v>
      </c>
      <c r="Y62" s="25" t="s">
        <v>49</v>
      </c>
      <c r="Z62" s="25" t="str">
        <f>""</f>
        <v/>
      </c>
      <c r="AA62" s="25" t="s">
        <v>47</v>
      </c>
      <c r="AB62" s="25">
        <v>8159975</v>
      </c>
      <c r="AC62" s="25" t="s">
        <v>343</v>
      </c>
      <c r="AD62" s="25">
        <v>1</v>
      </c>
      <c r="AE62" s="25" t="s">
        <v>49</v>
      </c>
      <c r="AF62" s="25" t="str">
        <f>""</f>
        <v/>
      </c>
      <c r="AG62" s="25" t="s">
        <v>1</v>
      </c>
      <c r="AH62" s="25">
        <v>20002050</v>
      </c>
      <c r="AI62" s="25" t="s">
        <v>136</v>
      </c>
      <c r="AJ62" s="25">
        <v>1</v>
      </c>
      <c r="AK62" s="25" t="s">
        <v>49</v>
      </c>
      <c r="AL62" s="25" t="str">
        <f>""</f>
        <v/>
      </c>
      <c r="AM62" s="25" t="s">
        <v>47</v>
      </c>
      <c r="AN62" s="34">
        <v>23068344</v>
      </c>
      <c r="AO62" s="25" t="s">
        <v>59</v>
      </c>
      <c r="AP62" s="25">
        <v>38</v>
      </c>
      <c r="AQ62" s="25" t="s">
        <v>53</v>
      </c>
      <c r="AR62" s="25" t="s">
        <v>51</v>
      </c>
      <c r="AS62" s="25" t="str">
        <f>""</f>
        <v/>
      </c>
      <c r="AT62" s="25" t="str">
        <f>""</f>
        <v/>
      </c>
      <c r="AU62" s="25" t="str">
        <f>""</f>
        <v/>
      </c>
      <c r="AV62" s="25" t="str">
        <f>""</f>
        <v/>
      </c>
      <c r="AW62" s="25" t="str">
        <f>""</f>
        <v/>
      </c>
      <c r="AX62" s="41" t="str">
        <f>""</f>
        <v/>
      </c>
      <c r="AY62" s="41" t="str">
        <f>""</f>
        <v/>
      </c>
      <c r="AZ62" s="41" t="str">
        <f>""</f>
        <v/>
      </c>
      <c r="BA62" s="41" t="str">
        <f>""</f>
        <v/>
      </c>
      <c r="BB62" s="41" t="str">
        <f>""</f>
        <v/>
      </c>
      <c r="BC62" s="41" t="str">
        <f>""</f>
        <v/>
      </c>
      <c r="BD62" s="41" t="str">
        <f>""</f>
        <v/>
      </c>
      <c r="BE62" s="51"/>
      <c r="BF62" s="51"/>
      <c r="BG62" s="25" t="s">
        <v>326</v>
      </c>
    </row>
    <row r="63" spans="1:59" ht="17.25" customHeight="1" x14ac:dyDescent="0.25">
      <c r="A63" s="25" t="str">
        <f t="shared" si="4"/>
        <v>PE120001261CA</v>
      </c>
      <c r="B63" s="25" t="s">
        <v>335</v>
      </c>
      <c r="C63" s="25" t="s">
        <v>315</v>
      </c>
      <c r="D63" s="25" t="s">
        <v>266</v>
      </c>
      <c r="E63" s="25" t="s">
        <v>105</v>
      </c>
      <c r="F63" s="25" t="s">
        <v>81</v>
      </c>
      <c r="G63" s="25">
        <v>2000</v>
      </c>
      <c r="H63" s="25">
        <v>1261</v>
      </c>
      <c r="I63" s="25" t="s">
        <v>47</v>
      </c>
      <c r="J63" s="25">
        <v>21707133</v>
      </c>
      <c r="K63" s="25" t="s">
        <v>48</v>
      </c>
      <c r="L63" s="25">
        <v>2</v>
      </c>
      <c r="M63" s="25" t="s">
        <v>49</v>
      </c>
      <c r="N63" s="25" t="str">
        <f>""</f>
        <v/>
      </c>
      <c r="O63" s="25" t="s">
        <v>47</v>
      </c>
      <c r="P63" s="25">
        <v>21707132</v>
      </c>
      <c r="Q63" s="25" t="s">
        <v>50</v>
      </c>
      <c r="R63" s="25">
        <v>1</v>
      </c>
      <c r="S63" s="25" t="s">
        <v>49</v>
      </c>
      <c r="T63" s="25" t="str">
        <f>""</f>
        <v/>
      </c>
      <c r="U63" s="25" t="s">
        <v>47</v>
      </c>
      <c r="V63" s="25">
        <v>8193841</v>
      </c>
      <c r="W63" s="25" t="s">
        <v>63</v>
      </c>
      <c r="X63" s="25">
        <v>1</v>
      </c>
      <c r="Y63" s="25" t="s">
        <v>49</v>
      </c>
      <c r="Z63" s="25" t="str">
        <f>""</f>
        <v/>
      </c>
      <c r="AA63" s="25" t="s">
        <v>47</v>
      </c>
      <c r="AB63" s="25">
        <v>8159975</v>
      </c>
      <c r="AC63" s="25" t="s">
        <v>343</v>
      </c>
      <c r="AD63" s="25">
        <v>1</v>
      </c>
      <c r="AE63" s="25" t="s">
        <v>49</v>
      </c>
      <c r="AF63" s="25" t="str">
        <f>""</f>
        <v/>
      </c>
      <c r="AG63" s="25" t="s">
        <v>1</v>
      </c>
      <c r="AH63" s="25">
        <v>20002050</v>
      </c>
      <c r="AI63" s="25" t="s">
        <v>136</v>
      </c>
      <c r="AJ63" s="25">
        <v>1</v>
      </c>
      <c r="AK63" s="25" t="s">
        <v>49</v>
      </c>
      <c r="AL63" s="25" t="str">
        <f>""</f>
        <v/>
      </c>
      <c r="AM63" s="25" t="s">
        <v>47</v>
      </c>
      <c r="AN63" s="34">
        <v>23068344</v>
      </c>
      <c r="AO63" s="25" t="s">
        <v>59</v>
      </c>
      <c r="AP63" s="25">
        <v>38</v>
      </c>
      <c r="AQ63" s="25" t="s">
        <v>53</v>
      </c>
      <c r="AR63" s="25" t="s">
        <v>51</v>
      </c>
      <c r="AS63" s="25"/>
      <c r="AT63" s="25"/>
      <c r="AU63" s="25"/>
      <c r="AV63" s="25"/>
      <c r="AW63" s="25"/>
      <c r="AX63" s="41" t="str">
        <f>""</f>
        <v/>
      </c>
      <c r="AY63" s="41" t="str">
        <f>""</f>
        <v/>
      </c>
      <c r="AZ63" s="41" t="str">
        <f>""</f>
        <v/>
      </c>
      <c r="BA63" s="41" t="str">
        <f>""</f>
        <v/>
      </c>
      <c r="BB63" s="41" t="str">
        <f>""</f>
        <v/>
      </c>
      <c r="BC63" s="41" t="str">
        <f>""</f>
        <v/>
      </c>
      <c r="BD63" s="41" t="str">
        <f>""</f>
        <v/>
      </c>
      <c r="BE63" s="51"/>
      <c r="BF63" s="51"/>
      <c r="BG63" s="25" t="s">
        <v>326</v>
      </c>
    </row>
    <row r="64" spans="1:59" ht="17.25" customHeight="1" x14ac:dyDescent="0.25">
      <c r="A64" s="25" t="str">
        <f t="shared" si="4"/>
        <v>PE120001264CA</v>
      </c>
      <c r="B64" s="25" t="s">
        <v>335</v>
      </c>
      <c r="C64" s="25" t="s">
        <v>316</v>
      </c>
      <c r="D64" s="25" t="s">
        <v>267</v>
      </c>
      <c r="E64" s="25" t="s">
        <v>339</v>
      </c>
      <c r="F64" s="25" t="s">
        <v>81</v>
      </c>
      <c r="G64" s="25">
        <v>2000</v>
      </c>
      <c r="H64" s="25">
        <v>1264</v>
      </c>
      <c r="I64" s="25" t="s">
        <v>82</v>
      </c>
      <c r="J64" s="25">
        <v>17457469</v>
      </c>
      <c r="K64" s="25" t="s">
        <v>50</v>
      </c>
      <c r="L64" s="25">
        <v>1</v>
      </c>
      <c r="M64" s="25" t="s">
        <v>49</v>
      </c>
      <c r="N64" s="25" t="str">
        <f>""</f>
        <v/>
      </c>
      <c r="O64" s="25" t="s">
        <v>82</v>
      </c>
      <c r="P64" s="25">
        <v>20805349</v>
      </c>
      <c r="Q64" s="25" t="s">
        <v>52</v>
      </c>
      <c r="R64" s="25">
        <v>1</v>
      </c>
      <c r="S64" s="25" t="s">
        <v>49</v>
      </c>
      <c r="T64" s="25" t="str">
        <f>""</f>
        <v/>
      </c>
      <c r="U64" s="25" t="s">
        <v>82</v>
      </c>
      <c r="V64" s="25">
        <v>11110683</v>
      </c>
      <c r="W64" s="25" t="s">
        <v>342</v>
      </c>
      <c r="X64" s="25">
        <v>1</v>
      </c>
      <c r="Y64" s="25" t="s">
        <v>49</v>
      </c>
      <c r="Z64" s="25" t="str">
        <f>""</f>
        <v/>
      </c>
      <c r="AA64" s="25" t="s">
        <v>1</v>
      </c>
      <c r="AB64" s="25">
        <v>20002050</v>
      </c>
      <c r="AC64" s="25" t="s">
        <v>136</v>
      </c>
      <c r="AD64" s="25">
        <v>1</v>
      </c>
      <c r="AE64" s="25" t="s">
        <v>49</v>
      </c>
      <c r="AF64" s="25" t="str">
        <f>""</f>
        <v/>
      </c>
      <c r="AG64" s="25" t="s">
        <v>47</v>
      </c>
      <c r="AH64" s="25">
        <v>23068343</v>
      </c>
      <c r="AI64" s="25" t="s">
        <v>344</v>
      </c>
      <c r="AJ64" s="25">
        <v>1</v>
      </c>
      <c r="AK64" s="25" t="s">
        <v>65</v>
      </c>
      <c r="AL64" s="25" t="str">
        <f>""</f>
        <v/>
      </c>
      <c r="AM64" s="25" t="s">
        <v>47</v>
      </c>
      <c r="AN64" s="34">
        <v>23068344</v>
      </c>
      <c r="AO64" s="25" t="s">
        <v>59</v>
      </c>
      <c r="AP64" s="25">
        <v>19</v>
      </c>
      <c r="AQ64" s="25" t="s">
        <v>53</v>
      </c>
      <c r="AR64" s="25" t="s">
        <v>51</v>
      </c>
      <c r="AS64" s="25" t="str">
        <f>""</f>
        <v/>
      </c>
      <c r="AT64" s="25" t="str">
        <f>""</f>
        <v/>
      </c>
      <c r="AU64" s="25" t="str">
        <f>""</f>
        <v/>
      </c>
      <c r="AV64" s="25" t="str">
        <f>""</f>
        <v/>
      </c>
      <c r="AW64" s="25" t="str">
        <f>""</f>
        <v/>
      </c>
      <c r="AX64" s="41" t="str">
        <f>""</f>
        <v/>
      </c>
      <c r="AY64" s="41" t="str">
        <f>""</f>
        <v/>
      </c>
      <c r="AZ64" s="41" t="str">
        <f>""</f>
        <v/>
      </c>
      <c r="BA64" s="41" t="str">
        <f>""</f>
        <v/>
      </c>
      <c r="BB64" s="41" t="str">
        <f>""</f>
        <v/>
      </c>
      <c r="BC64" s="41" t="str">
        <f>""</f>
        <v/>
      </c>
      <c r="BD64" s="41" t="str">
        <f>""</f>
        <v/>
      </c>
      <c r="BE64" s="51"/>
      <c r="BF64" s="51"/>
      <c r="BG64" s="25" t="s">
        <v>326</v>
      </c>
    </row>
    <row r="65" spans="1:59" x14ac:dyDescent="0.25">
      <c r="A65" s="70" t="str">
        <f t="shared" si="4"/>
        <v>PE120001238CA</v>
      </c>
      <c r="B65" s="25" t="s">
        <v>335</v>
      </c>
      <c r="C65" s="25" t="s">
        <v>317</v>
      </c>
      <c r="D65" s="25" t="s">
        <v>260</v>
      </c>
      <c r="E65" s="25" t="s">
        <v>155</v>
      </c>
      <c r="F65" s="25" t="s">
        <v>81</v>
      </c>
      <c r="G65" s="25">
        <v>2000</v>
      </c>
      <c r="H65" s="25">
        <v>1238</v>
      </c>
      <c r="I65" s="25" t="s">
        <v>47</v>
      </c>
      <c r="J65" s="25">
        <v>11110668</v>
      </c>
      <c r="K65" s="25" t="s">
        <v>122</v>
      </c>
      <c r="L65" s="25">
        <v>1</v>
      </c>
      <c r="M65" s="25" t="s">
        <v>49</v>
      </c>
      <c r="N65" s="25" t="str">
        <f>""</f>
        <v/>
      </c>
      <c r="O65" s="25" t="s">
        <v>47</v>
      </c>
      <c r="P65" s="25">
        <v>21707132</v>
      </c>
      <c r="Q65" s="25" t="s">
        <v>50</v>
      </c>
      <c r="R65" s="25">
        <v>1</v>
      </c>
      <c r="S65" s="25" t="s">
        <v>49</v>
      </c>
      <c r="T65" s="25" t="str">
        <f>""</f>
        <v/>
      </c>
      <c r="U65" s="25" t="s">
        <v>47</v>
      </c>
      <c r="V65" s="25">
        <v>21707133</v>
      </c>
      <c r="W65" s="25" t="s">
        <v>48</v>
      </c>
      <c r="X65" s="25">
        <v>2</v>
      </c>
      <c r="Y65" s="25" t="s">
        <v>49</v>
      </c>
      <c r="Z65" s="25" t="str">
        <f>""</f>
        <v/>
      </c>
      <c r="AA65" s="25" t="s">
        <v>82</v>
      </c>
      <c r="AB65" s="25">
        <v>15126069</v>
      </c>
      <c r="AC65" s="25" t="s">
        <v>63</v>
      </c>
      <c r="AD65" s="25">
        <v>1</v>
      </c>
      <c r="AE65" s="25" t="s">
        <v>49</v>
      </c>
      <c r="AF65" s="25" t="str">
        <f>""</f>
        <v/>
      </c>
      <c r="AG65" s="25" t="s">
        <v>47</v>
      </c>
      <c r="AH65" s="25">
        <v>85121022</v>
      </c>
      <c r="AI65" s="25" t="s">
        <v>123</v>
      </c>
      <c r="AJ65" s="25">
        <v>19</v>
      </c>
      <c r="AK65" s="25" t="s">
        <v>53</v>
      </c>
      <c r="AL65" s="25" t="s">
        <v>51</v>
      </c>
      <c r="AM65" s="25" t="s">
        <v>47</v>
      </c>
      <c r="AN65" s="34">
        <v>85121022</v>
      </c>
      <c r="AO65" s="25" t="s">
        <v>123</v>
      </c>
      <c r="AP65" s="25">
        <v>19</v>
      </c>
      <c r="AQ65" s="25" t="s">
        <v>53</v>
      </c>
      <c r="AR65" s="25" t="str">
        <f>""</f>
        <v/>
      </c>
      <c r="AS65" s="25" t="s">
        <v>47</v>
      </c>
      <c r="AT65" s="25">
        <v>85121022</v>
      </c>
      <c r="AU65" s="25" t="s">
        <v>123</v>
      </c>
      <c r="AV65" s="25">
        <v>19</v>
      </c>
      <c r="AW65" s="25" t="s">
        <v>53</v>
      </c>
      <c r="AX65" s="25" t="str">
        <f>""</f>
        <v/>
      </c>
      <c r="AY65" s="25" t="str">
        <f>""</f>
        <v/>
      </c>
      <c r="AZ65" s="25" t="str">
        <f>""</f>
        <v/>
      </c>
      <c r="BA65" s="25" t="str">
        <f>""</f>
        <v/>
      </c>
      <c r="BB65" s="25" t="str">
        <f>""</f>
        <v/>
      </c>
      <c r="BC65" s="25" t="str">
        <f>""</f>
        <v/>
      </c>
      <c r="BD65" s="25" t="str">
        <f>""</f>
        <v/>
      </c>
      <c r="BE65" s="51"/>
      <c r="BF65" s="51"/>
      <c r="BG65" s="25" t="s">
        <v>326</v>
      </c>
    </row>
    <row r="66" spans="1:59" ht="17.25" customHeight="1" x14ac:dyDescent="0.25">
      <c r="A66" s="25" t="str">
        <f t="shared" si="4"/>
        <v>PE120001266CA</v>
      </c>
      <c r="B66" s="25" t="s">
        <v>335</v>
      </c>
      <c r="C66" s="25" t="s">
        <v>318</v>
      </c>
      <c r="D66" s="25" t="s">
        <v>117</v>
      </c>
      <c r="E66" s="25" t="s">
        <v>169</v>
      </c>
      <c r="F66" s="25" t="s">
        <v>81</v>
      </c>
      <c r="G66" s="25">
        <v>2000</v>
      </c>
      <c r="H66" s="25">
        <v>1266</v>
      </c>
      <c r="I66" s="25" t="s">
        <v>47</v>
      </c>
      <c r="J66" s="25">
        <v>21707132</v>
      </c>
      <c r="K66" s="25" t="s">
        <v>50</v>
      </c>
      <c r="L66" s="25">
        <v>4</v>
      </c>
      <c r="M66" s="25" t="s">
        <v>49</v>
      </c>
      <c r="N66" s="25" t="str">
        <f>""</f>
        <v/>
      </c>
      <c r="O66" s="25" t="s">
        <v>47</v>
      </c>
      <c r="P66" s="25">
        <v>21707133</v>
      </c>
      <c r="Q66" s="25" t="s">
        <v>48</v>
      </c>
      <c r="R66" s="25">
        <v>8</v>
      </c>
      <c r="S66" s="25" t="s">
        <v>49</v>
      </c>
      <c r="T66" s="25" t="str">
        <f>""</f>
        <v/>
      </c>
      <c r="U66" s="25" t="s">
        <v>82</v>
      </c>
      <c r="V66" s="25">
        <v>15126069</v>
      </c>
      <c r="W66" s="25" t="s">
        <v>52</v>
      </c>
      <c r="X66" s="25">
        <v>4</v>
      </c>
      <c r="Y66" s="25" t="s">
        <v>49</v>
      </c>
      <c r="Z66" s="25" t="str">
        <f>""</f>
        <v/>
      </c>
      <c r="AA66" s="25" t="s">
        <v>82</v>
      </c>
      <c r="AB66" s="25">
        <v>11110683</v>
      </c>
      <c r="AC66" s="25" t="s">
        <v>342</v>
      </c>
      <c r="AD66" s="25">
        <v>4</v>
      </c>
      <c r="AE66" s="25" t="s">
        <v>49</v>
      </c>
      <c r="AF66" s="25" t="str">
        <f>""</f>
        <v/>
      </c>
      <c r="AG66" s="25" t="s">
        <v>1</v>
      </c>
      <c r="AH66" s="25">
        <v>20002050</v>
      </c>
      <c r="AI66" s="25" t="s">
        <v>136</v>
      </c>
      <c r="AJ66" s="25">
        <v>4</v>
      </c>
      <c r="AK66" s="25" t="s">
        <v>49</v>
      </c>
      <c r="AL66" s="25" t="str">
        <f>""</f>
        <v/>
      </c>
      <c r="AM66" s="25" t="s">
        <v>47</v>
      </c>
      <c r="AN66" s="34">
        <v>23068345</v>
      </c>
      <c r="AO66" s="25" t="s">
        <v>64</v>
      </c>
      <c r="AP66" s="25">
        <v>208</v>
      </c>
      <c r="AQ66" s="25" t="s">
        <v>53</v>
      </c>
      <c r="AR66" s="25" t="s">
        <v>51</v>
      </c>
      <c r="AS66" s="25" t="str">
        <f>""</f>
        <v/>
      </c>
      <c r="AT66" s="25" t="str">
        <f>""</f>
        <v/>
      </c>
      <c r="AU66" s="25" t="str">
        <f>""</f>
        <v/>
      </c>
      <c r="AV66" s="25" t="str">
        <f>""</f>
        <v/>
      </c>
      <c r="AW66" s="25" t="str">
        <f>""</f>
        <v/>
      </c>
      <c r="AX66" s="41" t="str">
        <f>""</f>
        <v/>
      </c>
      <c r="AY66" s="41" t="str">
        <f>""</f>
        <v/>
      </c>
      <c r="AZ66" s="41" t="str">
        <f>""</f>
        <v/>
      </c>
      <c r="BA66" s="41" t="str">
        <f>""</f>
        <v/>
      </c>
      <c r="BB66" s="41" t="str">
        <f>""</f>
        <v/>
      </c>
      <c r="BC66" s="41" t="str">
        <f>""</f>
        <v/>
      </c>
      <c r="BD66" s="41" t="str">
        <f>""</f>
        <v/>
      </c>
      <c r="BE66" s="51"/>
      <c r="BF66" s="51"/>
      <c r="BG66" s="25" t="s">
        <v>326</v>
      </c>
    </row>
    <row r="67" spans="1:59" x14ac:dyDescent="0.25">
      <c r="A67" s="25" t="str">
        <f t="shared" ref="A67:A69" si="7">CONCATENATE(D67,B67)</f>
        <v>PE420004106CA</v>
      </c>
      <c r="B67" s="25" t="s">
        <v>335</v>
      </c>
      <c r="C67" s="25" t="s">
        <v>319</v>
      </c>
      <c r="D67" s="25" t="s">
        <v>320</v>
      </c>
      <c r="E67" s="25" t="s">
        <v>209</v>
      </c>
      <c r="F67" s="25" t="s">
        <v>124</v>
      </c>
      <c r="G67" s="25">
        <v>2000</v>
      </c>
      <c r="H67" s="25">
        <v>4106</v>
      </c>
      <c r="I67" s="25" t="s">
        <v>47</v>
      </c>
      <c r="J67" s="25">
        <v>21707133</v>
      </c>
      <c r="K67" s="25" t="s">
        <v>48</v>
      </c>
      <c r="L67" s="25">
        <v>2</v>
      </c>
      <c r="M67" s="25" t="s">
        <v>49</v>
      </c>
      <c r="N67" s="25" t="str">
        <f>""</f>
        <v/>
      </c>
      <c r="O67" s="25" t="s">
        <v>47</v>
      </c>
      <c r="P67" s="25">
        <v>21707132</v>
      </c>
      <c r="Q67" s="25" t="s">
        <v>50</v>
      </c>
      <c r="R67" s="25">
        <v>1</v>
      </c>
      <c r="S67" s="25" t="s">
        <v>49</v>
      </c>
      <c r="T67" s="25" t="str">
        <f>""</f>
        <v/>
      </c>
      <c r="U67" s="25" t="s">
        <v>125</v>
      </c>
      <c r="V67" s="25">
        <v>3838854</v>
      </c>
      <c r="W67" s="25" t="s">
        <v>126</v>
      </c>
      <c r="X67" s="25">
        <v>2</v>
      </c>
      <c r="Y67" s="25" t="s">
        <v>49</v>
      </c>
      <c r="Z67" s="25" t="str">
        <f>""</f>
        <v/>
      </c>
      <c r="AA67" s="25" t="s">
        <v>47</v>
      </c>
      <c r="AB67" s="25">
        <v>3838852</v>
      </c>
      <c r="AC67" s="25" t="s">
        <v>128</v>
      </c>
      <c r="AD67" s="25">
        <v>2</v>
      </c>
      <c r="AE67" s="25" t="s">
        <v>49</v>
      </c>
      <c r="AF67" s="25" t="str">
        <f>""</f>
        <v/>
      </c>
      <c r="AG67" s="25" t="s">
        <v>47</v>
      </c>
      <c r="AH67" s="25">
        <v>23068644</v>
      </c>
      <c r="AI67" s="25" t="s">
        <v>127</v>
      </c>
      <c r="AJ67" s="25">
        <v>57</v>
      </c>
      <c r="AK67" s="25" t="s">
        <v>53</v>
      </c>
      <c r="AL67" s="25" t="s">
        <v>51</v>
      </c>
      <c r="AM67" s="25" t="s">
        <v>1</v>
      </c>
      <c r="AN67" s="34">
        <v>20002050</v>
      </c>
      <c r="AO67" s="25" t="s">
        <v>136</v>
      </c>
      <c r="AP67" s="25">
        <v>1</v>
      </c>
      <c r="AQ67" s="35" t="str">
        <f>""</f>
        <v/>
      </c>
      <c r="AR67" s="35" t="str">
        <f>""</f>
        <v/>
      </c>
      <c r="AS67" s="35" t="str">
        <f>""</f>
        <v/>
      </c>
      <c r="AT67" s="35" t="str">
        <f>""</f>
        <v/>
      </c>
      <c r="AU67" s="35" t="str">
        <f>""</f>
        <v/>
      </c>
      <c r="AV67" s="35" t="str">
        <f>""</f>
        <v/>
      </c>
      <c r="AW67" s="35" t="str">
        <f>""</f>
        <v/>
      </c>
      <c r="AX67" s="35" t="str">
        <f>""</f>
        <v/>
      </c>
      <c r="AY67" s="25" t="str">
        <f>""</f>
        <v/>
      </c>
      <c r="AZ67" s="25" t="str">
        <f>""</f>
        <v/>
      </c>
      <c r="BA67" s="25" t="str">
        <f>""</f>
        <v/>
      </c>
      <c r="BB67" s="25" t="str">
        <f>""</f>
        <v/>
      </c>
      <c r="BC67" s="25" t="str">
        <f>""</f>
        <v/>
      </c>
      <c r="BD67" s="25" t="str">
        <f>""</f>
        <v/>
      </c>
      <c r="BE67" s="51"/>
      <c r="BF67" s="51"/>
      <c r="BG67" s="53" t="s">
        <v>327</v>
      </c>
    </row>
    <row r="68" spans="1:59" x14ac:dyDescent="0.25">
      <c r="A68" s="25" t="str">
        <f t="shared" si="7"/>
        <v>PE420004101CA</v>
      </c>
      <c r="B68" s="25" t="s">
        <v>335</v>
      </c>
      <c r="C68" s="25" t="s">
        <v>321</v>
      </c>
      <c r="D68" s="25" t="s">
        <v>287</v>
      </c>
      <c r="E68" s="25" t="s">
        <v>204</v>
      </c>
      <c r="F68" s="25" t="s">
        <v>124</v>
      </c>
      <c r="G68" s="25">
        <v>2000</v>
      </c>
      <c r="H68" s="25">
        <v>4101</v>
      </c>
      <c r="I68" s="25" t="s">
        <v>125</v>
      </c>
      <c r="J68" s="25">
        <v>21492771</v>
      </c>
      <c r="K68" s="25" t="s">
        <v>52</v>
      </c>
      <c r="L68" s="25">
        <v>1</v>
      </c>
      <c r="M68" s="25" t="s">
        <v>49</v>
      </c>
      <c r="N68" s="25" t="str">
        <f>""</f>
        <v/>
      </c>
      <c r="O68" s="25" t="s">
        <v>47</v>
      </c>
      <c r="P68" s="25">
        <v>3838852</v>
      </c>
      <c r="Q68" s="25" t="s">
        <v>128</v>
      </c>
      <c r="R68" s="25">
        <v>1</v>
      </c>
      <c r="S68" s="25" t="s">
        <v>49</v>
      </c>
      <c r="T68" s="25" t="str">
        <f>""</f>
        <v/>
      </c>
      <c r="U68" s="25" t="s">
        <v>47</v>
      </c>
      <c r="V68" s="25">
        <v>3831236</v>
      </c>
      <c r="W68" s="25" t="s">
        <v>50</v>
      </c>
      <c r="X68" s="25">
        <v>1</v>
      </c>
      <c r="Y68" s="25" t="s">
        <v>49</v>
      </c>
      <c r="Z68" s="25" t="str">
        <f>""</f>
        <v/>
      </c>
      <c r="AA68" s="25" t="s">
        <v>47</v>
      </c>
      <c r="AB68" s="25">
        <v>23068344</v>
      </c>
      <c r="AC68" s="25" t="s">
        <v>127</v>
      </c>
      <c r="AD68" s="25">
        <v>19</v>
      </c>
      <c r="AE68" s="25" t="s">
        <v>53</v>
      </c>
      <c r="AF68" s="25" t="s">
        <v>51</v>
      </c>
      <c r="AG68" s="25" t="s">
        <v>1</v>
      </c>
      <c r="AH68" s="25">
        <v>20002050</v>
      </c>
      <c r="AI68" s="25" t="s">
        <v>136</v>
      </c>
      <c r="AJ68" s="25">
        <v>1</v>
      </c>
      <c r="AK68" s="25" t="str">
        <f>""</f>
        <v/>
      </c>
      <c r="AL68" s="25" t="str">
        <f>""</f>
        <v/>
      </c>
      <c r="AM68" s="25" t="str">
        <f>""</f>
        <v/>
      </c>
      <c r="AN68" s="34" t="str">
        <f>""</f>
        <v/>
      </c>
      <c r="AO68" s="25" t="str">
        <f>""</f>
        <v/>
      </c>
      <c r="AP68" s="25" t="str">
        <f>""</f>
        <v/>
      </c>
      <c r="AQ68" s="25" t="str">
        <f>""</f>
        <v/>
      </c>
      <c r="AR68" s="25" t="str">
        <f>""</f>
        <v/>
      </c>
      <c r="AS68" s="25" t="str">
        <f>""</f>
        <v/>
      </c>
      <c r="AT68" s="25" t="str">
        <f>""</f>
        <v/>
      </c>
      <c r="AU68" s="25" t="str">
        <f>""</f>
        <v/>
      </c>
      <c r="AV68" s="25" t="str">
        <f>""</f>
        <v/>
      </c>
      <c r="AW68" s="25" t="str">
        <f>""</f>
        <v/>
      </c>
      <c r="AX68" s="25" t="str">
        <f>""</f>
        <v/>
      </c>
      <c r="AY68" s="25" t="str">
        <f>""</f>
        <v/>
      </c>
      <c r="AZ68" s="25" t="str">
        <f>""</f>
        <v/>
      </c>
      <c r="BA68" s="25" t="str">
        <f>""</f>
        <v/>
      </c>
      <c r="BB68" s="25" t="str">
        <f>""</f>
        <v/>
      </c>
      <c r="BC68" s="25" t="str">
        <f>""</f>
        <v/>
      </c>
      <c r="BD68" s="25" t="str">
        <f>""</f>
        <v/>
      </c>
      <c r="BE68" s="51"/>
      <c r="BF68" s="51"/>
      <c r="BG68" s="53" t="s">
        <v>327</v>
      </c>
    </row>
    <row r="69" spans="1:59" ht="15" customHeight="1" x14ac:dyDescent="0.25">
      <c r="A69" s="39" t="str">
        <f t="shared" si="7"/>
        <v>PE420004103CA</v>
      </c>
      <c r="B69" s="25" t="s">
        <v>335</v>
      </c>
      <c r="C69" s="39" t="s">
        <v>322</v>
      </c>
      <c r="D69" s="39" t="s">
        <v>323</v>
      </c>
      <c r="E69" s="25" t="s">
        <v>207</v>
      </c>
      <c r="F69" s="39" t="s">
        <v>124</v>
      </c>
      <c r="G69" s="39">
        <v>2000</v>
      </c>
      <c r="H69" s="39">
        <v>4103</v>
      </c>
      <c r="I69" s="39" t="s">
        <v>47</v>
      </c>
      <c r="J69" s="39">
        <v>21707133</v>
      </c>
      <c r="K69" s="39" t="s">
        <v>48</v>
      </c>
      <c r="L69" s="39">
        <v>2</v>
      </c>
      <c r="M69" s="39" t="s">
        <v>49</v>
      </c>
      <c r="N69" s="39" t="str">
        <f>""</f>
        <v/>
      </c>
      <c r="O69" s="39" t="s">
        <v>47</v>
      </c>
      <c r="P69" s="39">
        <v>21707132</v>
      </c>
      <c r="Q69" s="39" t="s">
        <v>50</v>
      </c>
      <c r="R69" s="39">
        <v>1</v>
      </c>
      <c r="S69" s="39" t="s">
        <v>49</v>
      </c>
      <c r="T69" s="39" t="str">
        <f>""</f>
        <v/>
      </c>
      <c r="U69" s="39" t="s">
        <v>47</v>
      </c>
      <c r="V69" s="39">
        <v>23068343</v>
      </c>
      <c r="W69" s="25" t="s">
        <v>344</v>
      </c>
      <c r="X69" s="39">
        <v>3</v>
      </c>
      <c r="Y69" s="39" t="s">
        <v>65</v>
      </c>
      <c r="Z69" s="39" t="str">
        <f>""</f>
        <v/>
      </c>
      <c r="AA69" s="39" t="s">
        <v>47</v>
      </c>
      <c r="AB69" s="39">
        <v>3838852</v>
      </c>
      <c r="AC69" s="39" t="s">
        <v>128</v>
      </c>
      <c r="AD69" s="39">
        <v>2</v>
      </c>
      <c r="AE69" s="39" t="s">
        <v>49</v>
      </c>
      <c r="AF69" s="39" t="str">
        <f>""</f>
        <v/>
      </c>
      <c r="AG69" s="39" t="s">
        <v>47</v>
      </c>
      <c r="AH69" s="39">
        <v>23068344</v>
      </c>
      <c r="AI69" s="25" t="s">
        <v>127</v>
      </c>
      <c r="AJ69" s="25">
        <v>38</v>
      </c>
      <c r="AK69" s="39" t="s">
        <v>53</v>
      </c>
      <c r="AL69" s="39" t="s">
        <v>51</v>
      </c>
      <c r="AM69" s="39" t="s">
        <v>1</v>
      </c>
      <c r="AN69" s="40">
        <v>20002050</v>
      </c>
      <c r="AO69" s="39" t="s">
        <v>136</v>
      </c>
      <c r="AP69" s="39">
        <v>1</v>
      </c>
      <c r="AQ69" s="39"/>
      <c r="AR69" s="39" t="str">
        <f>""</f>
        <v/>
      </c>
      <c r="AS69" s="39" t="str">
        <f>""</f>
        <v/>
      </c>
      <c r="AT69" s="39" t="str">
        <f>""</f>
        <v/>
      </c>
      <c r="AU69" s="39" t="str">
        <f>""</f>
        <v/>
      </c>
      <c r="AV69" s="39" t="str">
        <f>""</f>
        <v/>
      </c>
      <c r="AW69" s="39" t="str">
        <f>""</f>
        <v/>
      </c>
      <c r="AX69" s="39" t="str">
        <f>""</f>
        <v/>
      </c>
      <c r="AY69" s="39" t="str">
        <f>""</f>
        <v/>
      </c>
      <c r="AZ69" s="39" t="str">
        <f>""</f>
        <v/>
      </c>
      <c r="BA69" s="39" t="str">
        <f>""</f>
        <v/>
      </c>
      <c r="BB69" s="39" t="str">
        <f>""</f>
        <v/>
      </c>
      <c r="BC69" s="39" t="str">
        <f>""</f>
        <v/>
      </c>
      <c r="BD69" s="39" t="str">
        <f>""</f>
        <v/>
      </c>
      <c r="BE69" s="52"/>
      <c r="BF69" s="52"/>
      <c r="BG69" s="53" t="s">
        <v>327</v>
      </c>
    </row>
    <row r="76" spans="1:59" ht="14.4" x14ac:dyDescent="0.3">
      <c r="E76"/>
      <c r="F76"/>
      <c r="G76"/>
      <c r="H76"/>
    </row>
    <row r="77" spans="1:59" ht="14.4" x14ac:dyDescent="0.3">
      <c r="E77"/>
      <c r="F77"/>
      <c r="G77"/>
      <c r="H77"/>
    </row>
    <row r="78" spans="1:59" ht="14.4" x14ac:dyDescent="0.3">
      <c r="E78"/>
      <c r="F78"/>
      <c r="G78"/>
      <c r="H78"/>
    </row>
    <row r="79" spans="1:59" ht="14.4" x14ac:dyDescent="0.3">
      <c r="E79"/>
      <c r="F79"/>
      <c r="G79"/>
      <c r="H79"/>
    </row>
    <row r="80" spans="1:59" ht="14.4" x14ac:dyDescent="0.3">
      <c r="E80"/>
      <c r="F80"/>
      <c r="G80"/>
      <c r="H80"/>
    </row>
    <row r="81" spans="5:8" ht="14.4" x14ac:dyDescent="0.3">
      <c r="E81"/>
      <c r="F81"/>
      <c r="G81"/>
      <c r="H81"/>
    </row>
    <row r="82" spans="5:8" ht="14.4" x14ac:dyDescent="0.3">
      <c r="E82"/>
      <c r="F82"/>
      <c r="G82"/>
      <c r="H82"/>
    </row>
    <row r="83" spans="5:8" ht="14.4" x14ac:dyDescent="0.3">
      <c r="E83"/>
      <c r="F83"/>
      <c r="G83"/>
      <c r="H83"/>
    </row>
    <row r="84" spans="5:8" ht="14.4" x14ac:dyDescent="0.3">
      <c r="E84"/>
      <c r="F84"/>
      <c r="G84"/>
      <c r="H84"/>
    </row>
    <row r="85" spans="5:8" ht="14.4" x14ac:dyDescent="0.3">
      <c r="E85"/>
      <c r="F85"/>
      <c r="G85"/>
      <c r="H85"/>
    </row>
    <row r="86" spans="5:8" ht="14.4" x14ac:dyDescent="0.3">
      <c r="E86"/>
      <c r="F86"/>
      <c r="G86"/>
      <c r="H86"/>
    </row>
    <row r="87" spans="5:8" ht="14.4" x14ac:dyDescent="0.3">
      <c r="E87"/>
      <c r="F87"/>
      <c r="G87"/>
      <c r="H87"/>
    </row>
    <row r="88" spans="5:8" ht="14.4" x14ac:dyDescent="0.3">
      <c r="E88"/>
      <c r="F88"/>
      <c r="G88"/>
      <c r="H88"/>
    </row>
    <row r="89" spans="5:8" ht="14.4" x14ac:dyDescent="0.3">
      <c r="E89"/>
      <c r="F89"/>
      <c r="G89"/>
      <c r="H89"/>
    </row>
    <row r="90" spans="5:8" ht="14.4" x14ac:dyDescent="0.3">
      <c r="E90"/>
      <c r="F90"/>
      <c r="G90"/>
      <c r="H90"/>
    </row>
    <row r="91" spans="5:8" ht="14.4" x14ac:dyDescent="0.3">
      <c r="E91"/>
      <c r="F91"/>
      <c r="G91"/>
      <c r="H91"/>
    </row>
    <row r="92" spans="5:8" ht="14.4" x14ac:dyDescent="0.3">
      <c r="E92"/>
      <c r="F92"/>
      <c r="G92"/>
      <c r="H92"/>
    </row>
    <row r="93" spans="5:8" ht="14.4" x14ac:dyDescent="0.3">
      <c r="E93"/>
      <c r="F93"/>
      <c r="G93"/>
      <c r="H93"/>
    </row>
    <row r="94" spans="5:8" ht="14.4" x14ac:dyDescent="0.3">
      <c r="E94"/>
      <c r="F94"/>
      <c r="G94"/>
      <c r="H94"/>
    </row>
    <row r="95" spans="5:8" ht="14.4" x14ac:dyDescent="0.3">
      <c r="E95"/>
      <c r="F95"/>
      <c r="G95"/>
      <c r="H95"/>
    </row>
    <row r="96" spans="5:8" ht="14.4" x14ac:dyDescent="0.3">
      <c r="E96"/>
      <c r="F96"/>
      <c r="G96"/>
      <c r="H96"/>
    </row>
    <row r="97" spans="5:8" ht="14.4" x14ac:dyDescent="0.3">
      <c r="E97"/>
      <c r="F97"/>
      <c r="G97"/>
      <c r="H97"/>
    </row>
    <row r="98" spans="5:8" ht="14.4" x14ac:dyDescent="0.3">
      <c r="E98"/>
      <c r="F98"/>
      <c r="G98"/>
      <c r="H98"/>
    </row>
    <row r="99" spans="5:8" ht="14.4" x14ac:dyDescent="0.3">
      <c r="E99"/>
      <c r="F99"/>
      <c r="G99"/>
      <c r="H99"/>
    </row>
    <row r="100" spans="5:8" ht="14.4" x14ac:dyDescent="0.3">
      <c r="E100"/>
      <c r="F100"/>
      <c r="G100"/>
      <c r="H100"/>
    </row>
    <row r="101" spans="5:8" ht="14.4" x14ac:dyDescent="0.3">
      <c r="E101"/>
      <c r="F101"/>
      <c r="G101"/>
      <c r="H101"/>
    </row>
    <row r="102" spans="5:8" ht="14.4" x14ac:dyDescent="0.3">
      <c r="E102"/>
      <c r="F102"/>
      <c r="G102"/>
      <c r="H102"/>
    </row>
    <row r="103" spans="5:8" ht="14.4" x14ac:dyDescent="0.3">
      <c r="E103"/>
      <c r="F103"/>
      <c r="G103"/>
      <c r="H103"/>
    </row>
    <row r="104" spans="5:8" ht="14.4" x14ac:dyDescent="0.3">
      <c r="E104"/>
      <c r="F104"/>
      <c r="G104"/>
      <c r="H104"/>
    </row>
    <row r="105" spans="5:8" ht="14.4" x14ac:dyDescent="0.3">
      <c r="E105"/>
      <c r="F105"/>
      <c r="G105"/>
      <c r="H105"/>
    </row>
    <row r="106" spans="5:8" ht="14.4" x14ac:dyDescent="0.3">
      <c r="E106"/>
      <c r="F106"/>
      <c r="G106"/>
      <c r="H106"/>
    </row>
    <row r="107" spans="5:8" ht="14.4" x14ac:dyDescent="0.3">
      <c r="E107"/>
      <c r="F107"/>
      <c r="G107"/>
      <c r="H107"/>
    </row>
    <row r="108" spans="5:8" ht="14.4" x14ac:dyDescent="0.3">
      <c r="E108"/>
      <c r="F108"/>
      <c r="G108"/>
      <c r="H108"/>
    </row>
    <row r="109" spans="5:8" ht="14.4" x14ac:dyDescent="0.3">
      <c r="E109"/>
      <c r="F109"/>
      <c r="G109"/>
      <c r="H109"/>
    </row>
    <row r="110" spans="5:8" ht="14.4" x14ac:dyDescent="0.3">
      <c r="E110"/>
      <c r="F110"/>
      <c r="G110"/>
      <c r="H110"/>
    </row>
    <row r="111" spans="5:8" ht="14.4" x14ac:dyDescent="0.3">
      <c r="E111"/>
      <c r="F111"/>
      <c r="G111"/>
      <c r="H111"/>
    </row>
    <row r="112" spans="5:8" ht="14.4" x14ac:dyDescent="0.3">
      <c r="E112"/>
      <c r="F112"/>
      <c r="G112"/>
      <c r="H112"/>
    </row>
    <row r="113" spans="5:8" ht="14.4" x14ac:dyDescent="0.3">
      <c r="E113"/>
      <c r="F113"/>
      <c r="G113"/>
      <c r="H113"/>
    </row>
    <row r="114" spans="5:8" ht="14.4" x14ac:dyDescent="0.3">
      <c r="E114"/>
      <c r="F114"/>
      <c r="G114"/>
      <c r="H114"/>
    </row>
    <row r="115" spans="5:8" ht="14.4" x14ac:dyDescent="0.3">
      <c r="E115"/>
      <c r="F115"/>
      <c r="G115"/>
      <c r="H115"/>
    </row>
    <row r="116" spans="5:8" ht="14.4" x14ac:dyDescent="0.3">
      <c r="E116"/>
      <c r="F116"/>
      <c r="G116"/>
      <c r="H116"/>
    </row>
    <row r="117" spans="5:8" ht="14.4" x14ac:dyDescent="0.3">
      <c r="E117"/>
      <c r="F117"/>
      <c r="G117"/>
      <c r="H117"/>
    </row>
  </sheetData>
  <conditionalFormatting sqref="B1">
    <cfRule type="duplicateValues" dxfId="145" priority="27"/>
  </conditionalFormatting>
  <conditionalFormatting sqref="B1">
    <cfRule type="duplicateValues" dxfId="144" priority="26"/>
  </conditionalFormatting>
  <conditionalFormatting sqref="D21:D24 D16 D18:D19">
    <cfRule type="duplicateValues" dxfId="143" priority="25"/>
  </conditionalFormatting>
  <conditionalFormatting sqref="D17">
    <cfRule type="duplicateValues" dxfId="142" priority="24"/>
  </conditionalFormatting>
  <conditionalFormatting sqref="D21:D24">
    <cfRule type="duplicateValues" dxfId="141" priority="23"/>
  </conditionalFormatting>
  <conditionalFormatting sqref="D25 D30:D33 D27:D28">
    <cfRule type="duplicateValues" dxfId="140" priority="17"/>
  </conditionalFormatting>
  <conditionalFormatting sqref="D26 D35">
    <cfRule type="duplicateValues" dxfId="139" priority="16"/>
  </conditionalFormatting>
  <conditionalFormatting sqref="D30:D33">
    <cfRule type="duplicateValues" dxfId="138" priority="15"/>
  </conditionalFormatting>
  <conditionalFormatting sqref="D36 D38">
    <cfRule type="duplicateValues" dxfId="137" priority="14"/>
  </conditionalFormatting>
  <conditionalFormatting sqref="D37">
    <cfRule type="duplicateValues" dxfId="136" priority="13"/>
  </conditionalFormatting>
  <conditionalFormatting sqref="D39">
    <cfRule type="duplicateValues" dxfId="135" priority="12"/>
  </conditionalFormatting>
  <conditionalFormatting sqref="D41">
    <cfRule type="duplicateValues" dxfId="134" priority="11"/>
  </conditionalFormatting>
  <conditionalFormatting sqref="D40">
    <cfRule type="duplicateValues" dxfId="133" priority="10"/>
  </conditionalFormatting>
  <conditionalFormatting sqref="D42">
    <cfRule type="duplicateValues" dxfId="132" priority="9"/>
  </conditionalFormatting>
  <conditionalFormatting sqref="D43 D15">
    <cfRule type="duplicateValues" dxfId="131" priority="8"/>
  </conditionalFormatting>
  <conditionalFormatting sqref="D1:AL1">
    <cfRule type="duplicateValues" dxfId="130" priority="7"/>
  </conditionalFormatting>
  <conditionalFormatting sqref="AM1:BD1">
    <cfRule type="duplicateValues" dxfId="129" priority="6"/>
  </conditionalFormatting>
  <conditionalFormatting sqref="AM1:BD1">
    <cfRule type="duplicateValues" dxfId="128" priority="5"/>
  </conditionalFormatting>
  <conditionalFormatting sqref="C1">
    <cfRule type="duplicateValues" dxfId="127" priority="4"/>
  </conditionalFormatting>
  <conditionalFormatting sqref="C1">
    <cfRule type="duplicateValues" dxfId="126" priority="3"/>
  </conditionalFormatting>
  <conditionalFormatting sqref="D34">
    <cfRule type="duplicateValues" dxfId="125" priority="2"/>
  </conditionalFormatting>
  <conditionalFormatting sqref="D34">
    <cfRule type="duplicateValues" dxfId="124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/>
  <dimension ref="A1:BE2"/>
  <sheetViews>
    <sheetView showGridLines="0" workbookViewId="0">
      <selection activeCell="A3" sqref="A3"/>
    </sheetView>
  </sheetViews>
  <sheetFormatPr baseColWidth="10" defaultColWidth="11.5546875" defaultRowHeight="14.4" x14ac:dyDescent="0.3"/>
  <sheetData>
    <row r="1" spans="1:57" s="65" customFormat="1" x14ac:dyDescent="0.3">
      <c r="A1" s="61" t="s">
        <v>83</v>
      </c>
      <c r="B1" s="62" t="s">
        <v>55</v>
      </c>
      <c r="C1" s="62" t="s">
        <v>0</v>
      </c>
      <c r="D1" s="62" t="s">
        <v>4</v>
      </c>
      <c r="E1" s="62" t="s">
        <v>2</v>
      </c>
      <c r="F1" s="62" t="s">
        <v>3</v>
      </c>
      <c r="G1" s="63" t="s">
        <v>5</v>
      </c>
      <c r="H1" s="63" t="s">
        <v>6</v>
      </c>
      <c r="I1" s="63" t="s">
        <v>7</v>
      </c>
      <c r="J1" s="63" t="s">
        <v>8</v>
      </c>
      <c r="K1" s="63" t="s">
        <v>9</v>
      </c>
      <c r="L1" s="63" t="s">
        <v>10</v>
      </c>
      <c r="M1" s="63" t="s">
        <v>11</v>
      </c>
      <c r="N1" s="62" t="s">
        <v>17</v>
      </c>
      <c r="O1" s="62" t="s">
        <v>23</v>
      </c>
      <c r="P1" s="62" t="s">
        <v>29</v>
      </c>
      <c r="Q1" s="62" t="s">
        <v>35</v>
      </c>
      <c r="R1" s="62" t="s">
        <v>41</v>
      </c>
      <c r="S1" s="63" t="s">
        <v>12</v>
      </c>
      <c r="T1" s="63" t="s">
        <v>18</v>
      </c>
      <c r="U1" s="63" t="s">
        <v>24</v>
      </c>
      <c r="V1" s="63" t="s">
        <v>30</v>
      </c>
      <c r="W1" s="63" t="s">
        <v>36</v>
      </c>
      <c r="X1" s="63" t="s">
        <v>42</v>
      </c>
      <c r="Y1" s="62" t="s">
        <v>13</v>
      </c>
      <c r="Z1" s="62" t="s">
        <v>19</v>
      </c>
      <c r="AA1" s="62" t="s">
        <v>25</v>
      </c>
      <c r="AB1" s="62" t="s">
        <v>31</v>
      </c>
      <c r="AC1" s="62" t="s">
        <v>37</v>
      </c>
      <c r="AD1" s="62" t="s">
        <v>43</v>
      </c>
      <c r="AE1" s="63" t="s">
        <v>14</v>
      </c>
      <c r="AF1" s="63" t="s">
        <v>20</v>
      </c>
      <c r="AG1" s="63" t="s">
        <v>26</v>
      </c>
      <c r="AH1" s="63" t="s">
        <v>32</v>
      </c>
      <c r="AI1" s="63" t="s">
        <v>38</v>
      </c>
      <c r="AJ1" s="63" t="s">
        <v>44</v>
      </c>
      <c r="AK1" s="62" t="s">
        <v>15</v>
      </c>
      <c r="AL1" s="62" t="s">
        <v>21</v>
      </c>
      <c r="AM1" s="62" t="s">
        <v>27</v>
      </c>
      <c r="AN1" s="62" t="s">
        <v>33</v>
      </c>
      <c r="AO1" s="62" t="s">
        <v>39</v>
      </c>
      <c r="AP1" s="62" t="s">
        <v>45</v>
      </c>
      <c r="AQ1" s="63" t="s">
        <v>16</v>
      </c>
      <c r="AR1" s="63" t="s">
        <v>22</v>
      </c>
      <c r="AS1" s="63" t="s">
        <v>28</v>
      </c>
      <c r="AT1" s="63" t="s">
        <v>34</v>
      </c>
      <c r="AU1" s="63" t="s">
        <v>40</v>
      </c>
      <c r="AV1" s="63" t="s">
        <v>46</v>
      </c>
      <c r="AW1" s="62" t="s">
        <v>74</v>
      </c>
      <c r="AX1" s="62" t="s">
        <v>75</v>
      </c>
      <c r="AY1" s="62" t="s">
        <v>76</v>
      </c>
      <c r="AZ1" s="62" t="s">
        <v>77</v>
      </c>
      <c r="BA1" s="62" t="s">
        <v>78</v>
      </c>
      <c r="BB1" s="62" t="s">
        <v>79</v>
      </c>
      <c r="BC1" s="64" t="s">
        <v>56</v>
      </c>
      <c r="BD1" s="64" t="s">
        <v>57</v>
      </c>
      <c r="BE1" s="63" t="s">
        <v>278</v>
      </c>
    </row>
    <row r="2" spans="1:57" s="65" customFormat="1" x14ac:dyDescent="0.3">
      <c r="A2" s="66" t="str">
        <f>""</f>
        <v/>
      </c>
      <c r="B2" s="66" t="str">
        <f>""</f>
        <v/>
      </c>
      <c r="C2" s="66" t="str">
        <f>""</f>
        <v/>
      </c>
      <c r="D2" s="66" t="str">
        <f>""</f>
        <v/>
      </c>
      <c r="E2" s="66" t="str">
        <f>""</f>
        <v/>
      </c>
      <c r="F2" s="66" t="str">
        <f>""</f>
        <v/>
      </c>
      <c r="G2" s="66" t="str">
        <f>""</f>
        <v/>
      </c>
      <c r="H2" s="66" t="str">
        <f>""</f>
        <v/>
      </c>
      <c r="I2" s="66" t="str">
        <f>""</f>
        <v/>
      </c>
      <c r="J2" s="66" t="str">
        <f>""</f>
        <v/>
      </c>
      <c r="K2" s="66" t="str">
        <f>""</f>
        <v/>
      </c>
      <c r="L2" s="66" t="str">
        <f>""</f>
        <v/>
      </c>
      <c r="M2" s="66" t="str">
        <f>""</f>
        <v/>
      </c>
      <c r="N2" s="66" t="str">
        <f>""</f>
        <v/>
      </c>
      <c r="O2" s="66" t="str">
        <f>""</f>
        <v/>
      </c>
      <c r="P2" s="66" t="str">
        <f>""</f>
        <v/>
      </c>
      <c r="Q2" s="66" t="str">
        <f>""</f>
        <v/>
      </c>
      <c r="R2" s="66" t="str">
        <f>""</f>
        <v/>
      </c>
      <c r="S2" s="66" t="str">
        <f>""</f>
        <v/>
      </c>
      <c r="T2" s="66" t="str">
        <f>""</f>
        <v/>
      </c>
      <c r="U2" s="66" t="str">
        <f>""</f>
        <v/>
      </c>
      <c r="V2" s="66" t="str">
        <f>""</f>
        <v/>
      </c>
      <c r="W2" s="66" t="str">
        <f>""</f>
        <v/>
      </c>
      <c r="X2" s="66" t="str">
        <f>""</f>
        <v/>
      </c>
      <c r="Y2" s="66" t="str">
        <f>""</f>
        <v/>
      </c>
      <c r="Z2" s="66" t="str">
        <f>""</f>
        <v/>
      </c>
      <c r="AA2" s="66" t="str">
        <f>""</f>
        <v/>
      </c>
      <c r="AB2" s="66" t="str">
        <f>""</f>
        <v/>
      </c>
      <c r="AC2" s="66" t="str">
        <f>""</f>
        <v/>
      </c>
      <c r="AD2" s="66" t="str">
        <f>""</f>
        <v/>
      </c>
      <c r="AE2" s="66" t="str">
        <f>""</f>
        <v/>
      </c>
      <c r="AF2" s="66" t="str">
        <f>""</f>
        <v/>
      </c>
      <c r="AG2" s="66" t="str">
        <f>""</f>
        <v/>
      </c>
      <c r="AH2" s="66" t="str">
        <f>""</f>
        <v/>
      </c>
      <c r="AI2" s="66" t="str">
        <f>""</f>
        <v/>
      </c>
      <c r="AJ2" s="66" t="str">
        <f>""</f>
        <v/>
      </c>
      <c r="AK2" s="66" t="str">
        <f>""</f>
        <v/>
      </c>
      <c r="AL2" s="66" t="str">
        <f>""</f>
        <v/>
      </c>
      <c r="AM2" s="66" t="str">
        <f>""</f>
        <v/>
      </c>
      <c r="AN2" s="66" t="str">
        <f>""</f>
        <v/>
      </c>
      <c r="AO2" s="66" t="str">
        <f>""</f>
        <v/>
      </c>
      <c r="AP2" s="66" t="str">
        <f>""</f>
        <v/>
      </c>
      <c r="AQ2" s="66" t="str">
        <f>""</f>
        <v/>
      </c>
      <c r="AR2" s="66" t="str">
        <f>""</f>
        <v/>
      </c>
      <c r="AS2" s="66" t="str">
        <f>""</f>
        <v/>
      </c>
      <c r="AT2" s="66" t="str">
        <f>""</f>
        <v/>
      </c>
      <c r="AU2" s="66" t="str">
        <f>""</f>
        <v/>
      </c>
      <c r="AV2" s="66" t="str">
        <f>""</f>
        <v/>
      </c>
      <c r="AW2" s="66" t="str">
        <f>""</f>
        <v/>
      </c>
      <c r="AX2" s="66" t="str">
        <f>""</f>
        <v/>
      </c>
      <c r="AY2" s="66" t="str">
        <f>""</f>
        <v/>
      </c>
      <c r="AZ2" s="66" t="str">
        <f>""</f>
        <v/>
      </c>
      <c r="BA2" s="66" t="str">
        <f>""</f>
        <v/>
      </c>
      <c r="BB2" s="66" t="str">
        <f>""</f>
        <v/>
      </c>
      <c r="BC2" s="66" t="str">
        <f>""</f>
        <v/>
      </c>
      <c r="BD2" s="66" t="str">
        <f>""</f>
        <v/>
      </c>
      <c r="BE2" s="66" t="str">
        <f>""</f>
        <v/>
      </c>
    </row>
  </sheetData>
  <conditionalFormatting sqref="B1:AJ1">
    <cfRule type="duplicateValues" dxfId="59" priority="5"/>
  </conditionalFormatting>
  <conditionalFormatting sqref="AK1:BB1">
    <cfRule type="duplicateValues" dxfId="58" priority="4"/>
  </conditionalFormatting>
  <conditionalFormatting sqref="AK1:BB1">
    <cfRule type="duplicateValues" dxfId="57" priority="3"/>
  </conditionalFormatting>
  <conditionalFormatting sqref="A1">
    <cfRule type="duplicateValues" dxfId="56" priority="2"/>
  </conditionalFormatting>
  <conditionalFormatting sqref="A1">
    <cfRule type="duplicateValues" dxfId="55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BE2"/>
  <sheetViews>
    <sheetView showGridLines="0" topLeftCell="A28" zoomScale="85" zoomScaleNormal="85" workbookViewId="0">
      <selection activeCell="A3" sqref="A3:XFD1048576"/>
    </sheetView>
  </sheetViews>
  <sheetFormatPr baseColWidth="10" defaultColWidth="9.33203125" defaultRowHeight="14.4" x14ac:dyDescent="0.3"/>
  <cols>
    <col min="1" max="1" width="9.109375" bestFit="1" customWidth="1"/>
    <col min="2" max="2" width="13" bestFit="1" customWidth="1"/>
    <col min="3" max="3" width="20.44140625" bestFit="1" customWidth="1"/>
    <col min="4" max="4" width="6" bestFit="1" customWidth="1"/>
    <col min="5" max="6" width="7.33203125" bestFit="1" customWidth="1"/>
    <col min="7" max="7" width="8.44140625" bestFit="1" customWidth="1"/>
    <col min="8" max="8" width="9.88671875" bestFit="1" customWidth="1"/>
    <col min="9" max="9" width="18.88671875" bestFit="1" customWidth="1"/>
    <col min="10" max="10" width="9.44140625" bestFit="1" customWidth="1"/>
    <col min="12" max="12" width="9.109375" bestFit="1" customWidth="1"/>
    <col min="13" max="13" width="8.44140625" bestFit="1" customWidth="1"/>
    <col min="14" max="14" width="9.88671875" bestFit="1" customWidth="1"/>
    <col min="15" max="15" width="16.33203125" bestFit="1" customWidth="1"/>
    <col min="16" max="16" width="9.44140625" bestFit="1" customWidth="1"/>
    <col min="18" max="18" width="9.109375" bestFit="1" customWidth="1"/>
    <col min="19" max="19" width="8.44140625" bestFit="1" customWidth="1"/>
    <col min="20" max="20" width="9.88671875" bestFit="1" customWidth="1"/>
    <col min="21" max="21" width="19.6640625" bestFit="1" customWidth="1"/>
    <col min="22" max="22" width="9.44140625" bestFit="1" customWidth="1"/>
    <col min="24" max="24" width="9.109375" bestFit="1" customWidth="1"/>
    <col min="25" max="25" width="8.44140625" bestFit="1" customWidth="1"/>
    <col min="26" max="26" width="9.88671875" bestFit="1" customWidth="1"/>
    <col min="27" max="27" width="19.6640625" bestFit="1" customWidth="1"/>
    <col min="28" max="28" width="9.44140625" bestFit="1" customWidth="1"/>
    <col min="30" max="30" width="9.109375" bestFit="1" customWidth="1"/>
    <col min="31" max="31" width="8.44140625" bestFit="1" customWidth="1"/>
    <col min="32" max="32" width="9.88671875" bestFit="1" customWidth="1"/>
    <col min="33" max="33" width="16.88671875" bestFit="1" customWidth="1"/>
    <col min="34" max="34" width="9.44140625" bestFit="1" customWidth="1"/>
    <col min="36" max="36" width="9.109375" bestFit="1" customWidth="1"/>
    <col min="37" max="37" width="8.44140625" bestFit="1" customWidth="1"/>
    <col min="38" max="38" width="9.88671875" bestFit="1" customWidth="1"/>
    <col min="39" max="39" width="16.33203125" bestFit="1" customWidth="1"/>
    <col min="40" max="40" width="9.44140625" bestFit="1" customWidth="1"/>
    <col min="42" max="42" width="9.109375" bestFit="1" customWidth="1"/>
    <col min="43" max="43" width="8.44140625" bestFit="1" customWidth="1"/>
    <col min="44" max="44" width="9.88671875" bestFit="1" customWidth="1"/>
    <col min="45" max="45" width="16.33203125" bestFit="1" customWidth="1"/>
    <col min="46" max="46" width="9.44140625" bestFit="1" customWidth="1"/>
    <col min="48" max="48" width="9.109375" bestFit="1" customWidth="1"/>
    <col min="49" max="49" width="8.44140625" bestFit="1" customWidth="1"/>
    <col min="50" max="50" width="8.6640625" bestFit="1" customWidth="1"/>
    <col min="51" max="52" width="9.44140625" bestFit="1" customWidth="1"/>
    <col min="54" max="54" width="9.109375" bestFit="1" customWidth="1"/>
    <col min="55" max="55" width="10.6640625" bestFit="1" customWidth="1"/>
    <col min="56" max="56" width="4.109375" bestFit="1" customWidth="1"/>
    <col min="57" max="57" width="12.88671875" bestFit="1" customWidth="1"/>
  </cols>
  <sheetData>
    <row r="1" spans="1:57" s="65" customFormat="1" x14ac:dyDescent="0.3">
      <c r="A1" s="61" t="s">
        <v>83</v>
      </c>
      <c r="B1" s="62" t="s">
        <v>55</v>
      </c>
      <c r="C1" s="62" t="s">
        <v>0</v>
      </c>
      <c r="D1" s="62" t="s">
        <v>4</v>
      </c>
      <c r="E1" s="62" t="s">
        <v>2</v>
      </c>
      <c r="F1" s="62" t="s">
        <v>3</v>
      </c>
      <c r="G1" s="63" t="s">
        <v>5</v>
      </c>
      <c r="H1" s="63" t="s">
        <v>6</v>
      </c>
      <c r="I1" s="63" t="s">
        <v>7</v>
      </c>
      <c r="J1" s="63" t="s">
        <v>8</v>
      </c>
      <c r="K1" s="63" t="s">
        <v>9</v>
      </c>
      <c r="L1" s="63" t="s">
        <v>10</v>
      </c>
      <c r="M1" s="63" t="s">
        <v>11</v>
      </c>
      <c r="N1" s="62" t="s">
        <v>17</v>
      </c>
      <c r="O1" s="62" t="s">
        <v>23</v>
      </c>
      <c r="P1" s="62" t="s">
        <v>29</v>
      </c>
      <c r="Q1" s="62" t="s">
        <v>35</v>
      </c>
      <c r="R1" s="62" t="s">
        <v>41</v>
      </c>
      <c r="S1" s="63" t="s">
        <v>12</v>
      </c>
      <c r="T1" s="63" t="s">
        <v>18</v>
      </c>
      <c r="U1" s="63" t="s">
        <v>24</v>
      </c>
      <c r="V1" s="63" t="s">
        <v>30</v>
      </c>
      <c r="W1" s="63" t="s">
        <v>36</v>
      </c>
      <c r="X1" s="63" t="s">
        <v>42</v>
      </c>
      <c r="Y1" s="62" t="s">
        <v>13</v>
      </c>
      <c r="Z1" s="62" t="s">
        <v>19</v>
      </c>
      <c r="AA1" s="62" t="s">
        <v>25</v>
      </c>
      <c r="AB1" s="62" t="s">
        <v>31</v>
      </c>
      <c r="AC1" s="62" t="s">
        <v>37</v>
      </c>
      <c r="AD1" s="62" t="s">
        <v>43</v>
      </c>
      <c r="AE1" s="63" t="s">
        <v>14</v>
      </c>
      <c r="AF1" s="63" t="s">
        <v>20</v>
      </c>
      <c r="AG1" s="63" t="s">
        <v>26</v>
      </c>
      <c r="AH1" s="63" t="s">
        <v>32</v>
      </c>
      <c r="AI1" s="63" t="s">
        <v>38</v>
      </c>
      <c r="AJ1" s="63" t="s">
        <v>44</v>
      </c>
      <c r="AK1" s="62" t="s">
        <v>15</v>
      </c>
      <c r="AL1" s="62" t="s">
        <v>21</v>
      </c>
      <c r="AM1" s="62" t="s">
        <v>27</v>
      </c>
      <c r="AN1" s="62" t="s">
        <v>33</v>
      </c>
      <c r="AO1" s="62" t="s">
        <v>39</v>
      </c>
      <c r="AP1" s="62" t="s">
        <v>45</v>
      </c>
      <c r="AQ1" s="63" t="s">
        <v>16</v>
      </c>
      <c r="AR1" s="63" t="s">
        <v>22</v>
      </c>
      <c r="AS1" s="63" t="s">
        <v>28</v>
      </c>
      <c r="AT1" s="63" t="s">
        <v>34</v>
      </c>
      <c r="AU1" s="63" t="s">
        <v>40</v>
      </c>
      <c r="AV1" s="63" t="s">
        <v>46</v>
      </c>
      <c r="AW1" s="62" t="s">
        <v>74</v>
      </c>
      <c r="AX1" s="62" t="s">
        <v>75</v>
      </c>
      <c r="AY1" s="62" t="s">
        <v>76</v>
      </c>
      <c r="AZ1" s="62" t="s">
        <v>77</v>
      </c>
      <c r="BA1" s="62" t="s">
        <v>78</v>
      </c>
      <c r="BB1" s="62" t="s">
        <v>79</v>
      </c>
      <c r="BC1" s="64" t="s">
        <v>56</v>
      </c>
      <c r="BD1" s="64" t="s">
        <v>57</v>
      </c>
      <c r="BE1" s="63" t="s">
        <v>278</v>
      </c>
    </row>
    <row r="2" spans="1:57" s="65" customFormat="1" x14ac:dyDescent="0.3">
      <c r="A2" s="65" t="str">
        <f>""</f>
        <v/>
      </c>
      <c r="B2" s="65" t="str">
        <f>""</f>
        <v/>
      </c>
      <c r="C2" s="65" t="str">
        <f>""</f>
        <v/>
      </c>
      <c r="D2" s="65" t="str">
        <f>""</f>
        <v/>
      </c>
      <c r="E2" s="65" t="str">
        <f>""</f>
        <v/>
      </c>
      <c r="F2" s="65" t="str">
        <f>""</f>
        <v/>
      </c>
      <c r="G2" s="65" t="str">
        <f>""</f>
        <v/>
      </c>
      <c r="H2" s="65" t="str">
        <f>""</f>
        <v/>
      </c>
      <c r="I2" s="65" t="str">
        <f>""</f>
        <v/>
      </c>
      <c r="J2" s="65" t="str">
        <f>""</f>
        <v/>
      </c>
      <c r="K2" s="65" t="str">
        <f>""</f>
        <v/>
      </c>
      <c r="L2" s="65" t="str">
        <f>""</f>
        <v/>
      </c>
      <c r="M2" s="65" t="str">
        <f>""</f>
        <v/>
      </c>
      <c r="N2" s="65" t="str">
        <f>""</f>
        <v/>
      </c>
      <c r="O2" s="65" t="str">
        <f>""</f>
        <v/>
      </c>
      <c r="P2" s="65" t="str">
        <f>""</f>
        <v/>
      </c>
      <c r="Q2" s="65" t="str">
        <f>""</f>
        <v/>
      </c>
      <c r="R2" s="65" t="str">
        <f>""</f>
        <v/>
      </c>
      <c r="S2" s="65" t="str">
        <f>""</f>
        <v/>
      </c>
      <c r="T2" s="65" t="str">
        <f>""</f>
        <v/>
      </c>
      <c r="U2" s="65" t="str">
        <f>""</f>
        <v/>
      </c>
      <c r="V2" s="65" t="str">
        <f>""</f>
        <v/>
      </c>
      <c r="W2" s="65" t="str">
        <f>""</f>
        <v/>
      </c>
      <c r="X2" s="65" t="str">
        <f>""</f>
        <v/>
      </c>
      <c r="Y2" s="65" t="str">
        <f>""</f>
        <v/>
      </c>
      <c r="Z2" s="65" t="str">
        <f>""</f>
        <v/>
      </c>
      <c r="AA2" s="65" t="str">
        <f>""</f>
        <v/>
      </c>
      <c r="AB2" s="65" t="str">
        <f>""</f>
        <v/>
      </c>
      <c r="AC2" s="65" t="str">
        <f>""</f>
        <v/>
      </c>
      <c r="AD2" s="65" t="str">
        <f>""</f>
        <v/>
      </c>
      <c r="AE2" s="65" t="str">
        <f>""</f>
        <v/>
      </c>
      <c r="AF2" s="65" t="str">
        <f>""</f>
        <v/>
      </c>
      <c r="AG2" s="65" t="str">
        <f>""</f>
        <v/>
      </c>
      <c r="AH2" s="65" t="str">
        <f>""</f>
        <v/>
      </c>
      <c r="AI2" s="65" t="str">
        <f>""</f>
        <v/>
      </c>
      <c r="AJ2" s="65" t="str">
        <f>""</f>
        <v/>
      </c>
      <c r="AK2" s="65" t="str">
        <f>""</f>
        <v/>
      </c>
      <c r="AL2" s="65" t="str">
        <f>""</f>
        <v/>
      </c>
      <c r="AM2" s="65" t="str">
        <f>""</f>
        <v/>
      </c>
      <c r="AN2" s="65" t="str">
        <f>""</f>
        <v/>
      </c>
      <c r="AO2" s="65" t="str">
        <f>""</f>
        <v/>
      </c>
      <c r="AP2" s="65" t="str">
        <f>""</f>
        <v/>
      </c>
      <c r="AQ2" s="65" t="str">
        <f>""</f>
        <v/>
      </c>
      <c r="AR2" s="65" t="str">
        <f>""</f>
        <v/>
      </c>
      <c r="AS2" s="65" t="str">
        <f>""</f>
        <v/>
      </c>
      <c r="AT2" s="65" t="str">
        <f>""</f>
        <v/>
      </c>
      <c r="AU2" s="65" t="str">
        <f>""</f>
        <v/>
      </c>
      <c r="AV2" s="65" t="str">
        <f>""</f>
        <v/>
      </c>
      <c r="AW2" s="65" t="str">
        <f>""</f>
        <v/>
      </c>
      <c r="AX2" s="65" t="str">
        <f>""</f>
        <v/>
      </c>
      <c r="AY2" s="65" t="str">
        <f>""</f>
        <v/>
      </c>
      <c r="AZ2" s="65" t="str">
        <f>""</f>
        <v/>
      </c>
      <c r="BA2" s="65" t="str">
        <f>""</f>
        <v/>
      </c>
      <c r="BB2" s="65" t="str">
        <f>""</f>
        <v/>
      </c>
      <c r="BC2" s="65" t="str">
        <f>""</f>
        <v/>
      </c>
      <c r="BD2" s="65" t="str">
        <f>""</f>
        <v/>
      </c>
      <c r="BE2" s="65" t="str">
        <f>""</f>
        <v/>
      </c>
    </row>
  </sheetData>
  <conditionalFormatting sqref="B1:AJ1">
    <cfRule type="duplicateValues" dxfId="54" priority="5"/>
  </conditionalFormatting>
  <conditionalFormatting sqref="AK1:BB1">
    <cfRule type="duplicateValues" dxfId="53" priority="4"/>
  </conditionalFormatting>
  <conditionalFormatting sqref="AK1:BB1">
    <cfRule type="duplicateValues" dxfId="52" priority="3"/>
  </conditionalFormatting>
  <conditionalFormatting sqref="A1">
    <cfRule type="duplicateValues" dxfId="51" priority="2"/>
  </conditionalFormatting>
  <conditionalFormatting sqref="A1">
    <cfRule type="duplicateValues" dxfId="50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BE2"/>
  <sheetViews>
    <sheetView showGridLines="0" topLeftCell="A58" zoomScale="130" zoomScaleNormal="130" workbookViewId="0">
      <selection activeCell="C53" sqref="C53"/>
    </sheetView>
  </sheetViews>
  <sheetFormatPr baseColWidth="10" defaultColWidth="9.109375" defaultRowHeight="14.4" x14ac:dyDescent="0.3"/>
  <cols>
    <col min="1" max="1" width="9.109375" bestFit="1" customWidth="1"/>
    <col min="2" max="2" width="13.33203125" bestFit="1" customWidth="1"/>
    <col min="3" max="3" width="23.109375" bestFit="1" customWidth="1"/>
    <col min="4" max="4" width="6.33203125" bestFit="1" customWidth="1"/>
    <col min="5" max="6" width="7.44140625" bestFit="1" customWidth="1"/>
    <col min="7" max="7" width="8.88671875" bestFit="1" customWidth="1"/>
    <col min="8" max="8" width="10.109375" bestFit="1" customWidth="1"/>
    <col min="9" max="9" width="19" bestFit="1" customWidth="1"/>
    <col min="10" max="10" width="9.6640625" bestFit="1" customWidth="1"/>
    <col min="11" max="12" width="9.44140625" bestFit="1" customWidth="1"/>
    <col min="13" max="13" width="8.88671875" bestFit="1" customWidth="1"/>
    <col min="14" max="14" width="10.109375" bestFit="1" customWidth="1"/>
    <col min="15" max="15" width="22.88671875" bestFit="1" customWidth="1"/>
    <col min="16" max="16" width="9.6640625" bestFit="1" customWidth="1"/>
    <col min="17" max="18" width="9.44140625" bestFit="1" customWidth="1"/>
    <col min="19" max="19" width="8.88671875" bestFit="1" customWidth="1"/>
    <col min="20" max="20" width="10.109375" bestFit="1" customWidth="1"/>
    <col min="21" max="21" width="28.109375" bestFit="1" customWidth="1"/>
    <col min="22" max="22" width="9.6640625" bestFit="1" customWidth="1"/>
    <col min="23" max="24" width="9.44140625" bestFit="1" customWidth="1"/>
    <col min="25" max="25" width="8.88671875" bestFit="1" customWidth="1"/>
    <col min="26" max="26" width="10.109375" bestFit="1" customWidth="1"/>
    <col min="27" max="27" width="27" bestFit="1" customWidth="1"/>
    <col min="28" max="28" width="9.6640625" bestFit="1" customWidth="1"/>
    <col min="29" max="30" width="9.44140625" bestFit="1" customWidth="1"/>
    <col min="31" max="31" width="8.88671875" bestFit="1" customWidth="1"/>
    <col min="32" max="32" width="10.109375" bestFit="1" customWidth="1"/>
    <col min="33" max="33" width="16.88671875" bestFit="1" customWidth="1"/>
    <col min="34" max="34" width="9.6640625" bestFit="1" customWidth="1"/>
    <col min="35" max="36" width="9.44140625" bestFit="1" customWidth="1"/>
    <col min="37" max="37" width="8.88671875" bestFit="1" customWidth="1"/>
    <col min="38" max="38" width="9" bestFit="1" customWidth="1"/>
    <col min="39" max="39" width="9.88671875" bestFit="1" customWidth="1"/>
    <col min="40" max="40" width="9.6640625" bestFit="1" customWidth="1"/>
    <col min="41" max="42" width="9.44140625" bestFit="1" customWidth="1"/>
    <col min="43" max="43" width="8.88671875" bestFit="1" customWidth="1"/>
    <col min="44" max="44" width="9" bestFit="1" customWidth="1"/>
    <col min="45" max="45" width="9.88671875" bestFit="1" customWidth="1"/>
    <col min="46" max="46" width="9.6640625" bestFit="1" customWidth="1"/>
    <col min="47" max="48" width="9.44140625" bestFit="1" customWidth="1"/>
    <col min="49" max="49" width="8.88671875" bestFit="1" customWidth="1"/>
    <col min="50" max="50" width="9" bestFit="1" customWidth="1"/>
    <col min="51" max="51" width="9.88671875" bestFit="1" customWidth="1"/>
    <col min="52" max="52" width="9.6640625" bestFit="1" customWidth="1"/>
    <col min="53" max="54" width="9.44140625" bestFit="1" customWidth="1"/>
    <col min="55" max="55" width="10.6640625" bestFit="1" customWidth="1"/>
    <col min="56" max="56" width="6.6640625" bestFit="1" customWidth="1"/>
    <col min="57" max="57" width="10.88671875" bestFit="1" customWidth="1"/>
  </cols>
  <sheetData>
    <row r="1" spans="1:57" s="65" customFormat="1" x14ac:dyDescent="0.3">
      <c r="A1" s="61" t="s">
        <v>83</v>
      </c>
      <c r="B1" s="62" t="s">
        <v>55</v>
      </c>
      <c r="C1" s="62" t="s">
        <v>0</v>
      </c>
      <c r="D1" s="62" t="s">
        <v>4</v>
      </c>
      <c r="E1" s="62" t="s">
        <v>2</v>
      </c>
      <c r="F1" s="62" t="s">
        <v>3</v>
      </c>
      <c r="G1" s="63" t="s">
        <v>5</v>
      </c>
      <c r="H1" s="63" t="s">
        <v>6</v>
      </c>
      <c r="I1" s="63" t="s">
        <v>7</v>
      </c>
      <c r="J1" s="63" t="s">
        <v>8</v>
      </c>
      <c r="K1" s="63" t="s">
        <v>9</v>
      </c>
      <c r="L1" s="63" t="s">
        <v>10</v>
      </c>
      <c r="M1" s="63" t="s">
        <v>11</v>
      </c>
      <c r="N1" s="62" t="s">
        <v>17</v>
      </c>
      <c r="O1" s="62" t="s">
        <v>23</v>
      </c>
      <c r="P1" s="62" t="s">
        <v>29</v>
      </c>
      <c r="Q1" s="62" t="s">
        <v>35</v>
      </c>
      <c r="R1" s="62" t="s">
        <v>41</v>
      </c>
      <c r="S1" s="63" t="s">
        <v>12</v>
      </c>
      <c r="T1" s="63" t="s">
        <v>18</v>
      </c>
      <c r="U1" s="63" t="s">
        <v>24</v>
      </c>
      <c r="V1" s="63" t="s">
        <v>30</v>
      </c>
      <c r="W1" s="63" t="s">
        <v>36</v>
      </c>
      <c r="X1" s="63" t="s">
        <v>42</v>
      </c>
      <c r="Y1" s="62" t="s">
        <v>13</v>
      </c>
      <c r="Z1" s="62" t="s">
        <v>19</v>
      </c>
      <c r="AA1" s="62" t="s">
        <v>25</v>
      </c>
      <c r="AB1" s="62" t="s">
        <v>31</v>
      </c>
      <c r="AC1" s="62" t="s">
        <v>37</v>
      </c>
      <c r="AD1" s="62" t="s">
        <v>43</v>
      </c>
      <c r="AE1" s="63" t="s">
        <v>14</v>
      </c>
      <c r="AF1" s="63" t="s">
        <v>20</v>
      </c>
      <c r="AG1" s="63" t="s">
        <v>26</v>
      </c>
      <c r="AH1" s="63" t="s">
        <v>32</v>
      </c>
      <c r="AI1" s="63" t="s">
        <v>38</v>
      </c>
      <c r="AJ1" s="63" t="s">
        <v>44</v>
      </c>
      <c r="AK1" s="62" t="s">
        <v>15</v>
      </c>
      <c r="AL1" s="62" t="s">
        <v>21</v>
      </c>
      <c r="AM1" s="62" t="s">
        <v>27</v>
      </c>
      <c r="AN1" s="62" t="s">
        <v>33</v>
      </c>
      <c r="AO1" s="62" t="s">
        <v>39</v>
      </c>
      <c r="AP1" s="62" t="s">
        <v>45</v>
      </c>
      <c r="AQ1" s="63" t="s">
        <v>16</v>
      </c>
      <c r="AR1" s="63" t="s">
        <v>22</v>
      </c>
      <c r="AS1" s="63" t="s">
        <v>28</v>
      </c>
      <c r="AT1" s="63" t="s">
        <v>34</v>
      </c>
      <c r="AU1" s="63" t="s">
        <v>40</v>
      </c>
      <c r="AV1" s="63" t="s">
        <v>46</v>
      </c>
      <c r="AW1" s="62" t="s">
        <v>74</v>
      </c>
      <c r="AX1" s="62" t="s">
        <v>75</v>
      </c>
      <c r="AY1" s="62" t="s">
        <v>76</v>
      </c>
      <c r="AZ1" s="62" t="s">
        <v>77</v>
      </c>
      <c r="BA1" s="62" t="s">
        <v>78</v>
      </c>
      <c r="BB1" s="62" t="s">
        <v>79</v>
      </c>
      <c r="BC1" s="64" t="s">
        <v>56</v>
      </c>
      <c r="BD1" s="64" t="s">
        <v>57</v>
      </c>
      <c r="BE1" s="63" t="s">
        <v>278</v>
      </c>
    </row>
    <row r="2" spans="1:57" s="65" customFormat="1" ht="12.75" customHeight="1" x14ac:dyDescent="0.3">
      <c r="A2" s="66" t="str">
        <f>""</f>
        <v/>
      </c>
      <c r="B2" s="66" t="str">
        <f>""</f>
        <v/>
      </c>
      <c r="C2" s="66" t="str">
        <f>""</f>
        <v/>
      </c>
      <c r="D2" s="66" t="str">
        <f>""</f>
        <v/>
      </c>
      <c r="E2" s="66" t="str">
        <f>""</f>
        <v/>
      </c>
      <c r="F2" s="66" t="str">
        <f>""</f>
        <v/>
      </c>
      <c r="G2" s="66" t="str">
        <f>""</f>
        <v/>
      </c>
      <c r="H2" s="66" t="str">
        <f>""</f>
        <v/>
      </c>
      <c r="I2" s="66" t="str">
        <f>""</f>
        <v/>
      </c>
      <c r="J2" s="66" t="str">
        <f>""</f>
        <v/>
      </c>
      <c r="K2" s="66" t="str">
        <f>""</f>
        <v/>
      </c>
      <c r="L2" s="66" t="str">
        <f>""</f>
        <v/>
      </c>
      <c r="M2" s="66" t="str">
        <f>""</f>
        <v/>
      </c>
      <c r="N2" s="66" t="str">
        <f>""</f>
        <v/>
      </c>
      <c r="O2" s="66" t="str">
        <f>""</f>
        <v/>
      </c>
      <c r="P2" s="66" t="str">
        <f>""</f>
        <v/>
      </c>
      <c r="Q2" s="66" t="str">
        <f>""</f>
        <v/>
      </c>
      <c r="R2" s="66" t="str">
        <f>""</f>
        <v/>
      </c>
      <c r="S2" s="66" t="str">
        <f>""</f>
        <v/>
      </c>
      <c r="T2" s="66" t="str">
        <f>""</f>
        <v/>
      </c>
      <c r="U2" s="66" t="str">
        <f>""</f>
        <v/>
      </c>
      <c r="V2" s="66" t="str">
        <f>""</f>
        <v/>
      </c>
      <c r="W2" s="66" t="str">
        <f>""</f>
        <v/>
      </c>
      <c r="X2" s="66" t="str">
        <f>""</f>
        <v/>
      </c>
      <c r="Y2" s="66" t="str">
        <f>""</f>
        <v/>
      </c>
      <c r="Z2" s="66" t="str">
        <f>""</f>
        <v/>
      </c>
      <c r="AA2" s="66" t="str">
        <f>""</f>
        <v/>
      </c>
      <c r="AB2" s="66" t="str">
        <f>""</f>
        <v/>
      </c>
      <c r="AC2" s="66" t="str">
        <f>""</f>
        <v/>
      </c>
      <c r="AD2" s="66" t="str">
        <f>""</f>
        <v/>
      </c>
      <c r="AE2" s="66" t="str">
        <f>""</f>
        <v/>
      </c>
      <c r="AF2" s="66" t="str">
        <f>""</f>
        <v/>
      </c>
      <c r="AG2" s="66" t="str">
        <f>""</f>
        <v/>
      </c>
      <c r="AH2" s="66" t="str">
        <f>""</f>
        <v/>
      </c>
      <c r="AI2" s="66" t="str">
        <f>""</f>
        <v/>
      </c>
      <c r="AJ2" s="66" t="str">
        <f>""</f>
        <v/>
      </c>
      <c r="AK2" s="66" t="str">
        <f>""</f>
        <v/>
      </c>
      <c r="AL2" s="66" t="str">
        <f>""</f>
        <v/>
      </c>
      <c r="AM2" s="66" t="str">
        <f>""</f>
        <v/>
      </c>
      <c r="AN2" s="66" t="str">
        <f>""</f>
        <v/>
      </c>
      <c r="AO2" s="66" t="str">
        <f>""</f>
        <v/>
      </c>
      <c r="AP2" s="66" t="str">
        <f>""</f>
        <v/>
      </c>
      <c r="AQ2" s="66" t="str">
        <f>""</f>
        <v/>
      </c>
      <c r="AR2" s="66" t="str">
        <f>""</f>
        <v/>
      </c>
      <c r="AS2" s="66" t="str">
        <f>""</f>
        <v/>
      </c>
      <c r="AT2" s="66" t="str">
        <f>""</f>
        <v/>
      </c>
      <c r="AU2" s="66" t="str">
        <f>""</f>
        <v/>
      </c>
      <c r="AV2" s="66" t="str">
        <f>""</f>
        <v/>
      </c>
      <c r="AW2" s="66" t="str">
        <f>""</f>
        <v/>
      </c>
      <c r="AX2" s="66" t="str">
        <f>""</f>
        <v/>
      </c>
      <c r="AY2" s="66" t="str">
        <f>""</f>
        <v/>
      </c>
      <c r="AZ2" s="66" t="str">
        <f>""</f>
        <v/>
      </c>
      <c r="BA2" s="66" t="str">
        <f>""</f>
        <v/>
      </c>
      <c r="BB2" s="66" t="str">
        <f>""</f>
        <v/>
      </c>
      <c r="BC2" s="66" t="str">
        <f>""</f>
        <v/>
      </c>
      <c r="BD2" s="66" t="str">
        <f>""</f>
        <v/>
      </c>
      <c r="BE2" s="66" t="str">
        <f>""</f>
        <v/>
      </c>
    </row>
  </sheetData>
  <conditionalFormatting sqref="B1:AJ1">
    <cfRule type="duplicateValues" dxfId="49" priority="5"/>
  </conditionalFormatting>
  <conditionalFormatting sqref="AK1:BB1">
    <cfRule type="duplicateValues" dxfId="48" priority="4"/>
  </conditionalFormatting>
  <conditionalFormatting sqref="AK1:BB1">
    <cfRule type="duplicateValues" dxfId="47" priority="3"/>
  </conditionalFormatting>
  <conditionalFormatting sqref="A1">
    <cfRule type="duplicateValues" dxfId="46" priority="2"/>
  </conditionalFormatting>
  <conditionalFormatting sqref="A1">
    <cfRule type="duplicateValues" dxfId="45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E2"/>
  <sheetViews>
    <sheetView showGridLines="0" zoomScale="115" zoomScaleNormal="115" workbookViewId="0">
      <selection activeCell="A3" sqref="A3:XFD1048576"/>
    </sheetView>
  </sheetViews>
  <sheetFormatPr baseColWidth="10" defaultColWidth="9.109375" defaultRowHeight="14.4" x14ac:dyDescent="0.3"/>
  <cols>
    <col min="1" max="1" width="14.33203125" bestFit="1" customWidth="1"/>
    <col min="2" max="2" width="22.109375" bestFit="1" customWidth="1"/>
    <col min="3" max="3" width="8.6640625" bestFit="1" customWidth="1"/>
    <col min="4" max="4" width="9.6640625" bestFit="1" customWidth="1"/>
    <col min="5" max="5" width="10.109375" bestFit="1" customWidth="1"/>
    <col min="6" max="6" width="10.6640625" bestFit="1" customWidth="1"/>
    <col min="7" max="7" width="11.109375" bestFit="1" customWidth="1"/>
    <col min="8" max="8" width="19.109375" bestFit="1" customWidth="1"/>
    <col min="9" max="9" width="11.44140625" bestFit="1" customWidth="1"/>
    <col min="10" max="10" width="11.109375" bestFit="1" customWidth="1"/>
    <col min="11" max="11" width="11" bestFit="1" customWidth="1"/>
    <col min="12" max="13" width="11.109375" bestFit="1" customWidth="1"/>
    <col min="14" max="14" width="19.109375" bestFit="1" customWidth="1"/>
    <col min="15" max="15" width="11.6640625" bestFit="1" customWidth="1"/>
    <col min="16" max="16" width="11.5546875" bestFit="1" customWidth="1"/>
    <col min="17" max="17" width="11.44140625" bestFit="1" customWidth="1"/>
    <col min="18" max="19" width="11.109375" bestFit="1" customWidth="1"/>
    <col min="20" max="20" width="23" bestFit="1" customWidth="1"/>
    <col min="21" max="21" width="11.6640625" bestFit="1" customWidth="1"/>
    <col min="22" max="22" width="11.5546875" bestFit="1" customWidth="1"/>
    <col min="23" max="23" width="11.44140625" bestFit="1" customWidth="1"/>
    <col min="24" max="24" width="11.109375" bestFit="1" customWidth="1"/>
    <col min="25" max="25" width="16.33203125" bestFit="1" customWidth="1"/>
    <col min="26" max="26" width="16.44140625" bestFit="1" customWidth="1"/>
    <col min="27" max="27" width="11.6640625" bestFit="1" customWidth="1"/>
    <col min="28" max="28" width="11.5546875" bestFit="1" customWidth="1"/>
    <col min="29" max="29" width="11.44140625" bestFit="1" customWidth="1"/>
    <col min="30" max="31" width="11.109375" bestFit="1" customWidth="1"/>
    <col min="32" max="32" width="20.5546875" bestFit="1" customWidth="1"/>
    <col min="33" max="33" width="11.6640625" bestFit="1" customWidth="1"/>
    <col min="34" max="34" width="11.5546875" bestFit="1" customWidth="1"/>
    <col min="35" max="35" width="11.44140625" bestFit="1" customWidth="1"/>
    <col min="36" max="36" width="11.6640625" bestFit="1" customWidth="1"/>
    <col min="37" max="37" width="4.5546875" bestFit="1" customWidth="1"/>
  </cols>
  <sheetData>
    <row r="1" spans="1:57" s="65" customFormat="1" x14ac:dyDescent="0.3">
      <c r="A1" s="61" t="s">
        <v>83</v>
      </c>
      <c r="B1" s="62" t="s">
        <v>55</v>
      </c>
      <c r="C1" s="62" t="s">
        <v>0</v>
      </c>
      <c r="D1" s="62" t="s">
        <v>4</v>
      </c>
      <c r="E1" s="62" t="s">
        <v>2</v>
      </c>
      <c r="F1" s="62" t="s">
        <v>3</v>
      </c>
      <c r="G1" s="63" t="s">
        <v>5</v>
      </c>
      <c r="H1" s="63" t="s">
        <v>6</v>
      </c>
      <c r="I1" s="63" t="s">
        <v>7</v>
      </c>
      <c r="J1" s="63" t="s">
        <v>8</v>
      </c>
      <c r="K1" s="63" t="s">
        <v>9</v>
      </c>
      <c r="L1" s="63" t="s">
        <v>10</v>
      </c>
      <c r="M1" s="63" t="s">
        <v>11</v>
      </c>
      <c r="N1" s="62" t="s">
        <v>17</v>
      </c>
      <c r="O1" s="62" t="s">
        <v>23</v>
      </c>
      <c r="P1" s="62" t="s">
        <v>29</v>
      </c>
      <c r="Q1" s="62" t="s">
        <v>35</v>
      </c>
      <c r="R1" s="62" t="s">
        <v>41</v>
      </c>
      <c r="S1" s="63" t="s">
        <v>12</v>
      </c>
      <c r="T1" s="63" t="s">
        <v>18</v>
      </c>
      <c r="U1" s="63" t="s">
        <v>24</v>
      </c>
      <c r="V1" s="63" t="s">
        <v>30</v>
      </c>
      <c r="W1" s="63" t="s">
        <v>36</v>
      </c>
      <c r="X1" s="63" t="s">
        <v>42</v>
      </c>
      <c r="Y1" s="62" t="s">
        <v>13</v>
      </c>
      <c r="Z1" s="62" t="s">
        <v>19</v>
      </c>
      <c r="AA1" s="62" t="s">
        <v>25</v>
      </c>
      <c r="AB1" s="62" t="s">
        <v>31</v>
      </c>
      <c r="AC1" s="62" t="s">
        <v>37</v>
      </c>
      <c r="AD1" s="62" t="s">
        <v>43</v>
      </c>
      <c r="AE1" s="63" t="s">
        <v>14</v>
      </c>
      <c r="AF1" s="63" t="s">
        <v>20</v>
      </c>
      <c r="AG1" s="63" t="s">
        <v>26</v>
      </c>
      <c r="AH1" s="63" t="s">
        <v>32</v>
      </c>
      <c r="AI1" s="63" t="s">
        <v>38</v>
      </c>
      <c r="AJ1" s="63" t="s">
        <v>44</v>
      </c>
      <c r="AK1" s="62" t="s">
        <v>15</v>
      </c>
      <c r="AL1" s="62" t="s">
        <v>21</v>
      </c>
      <c r="AM1" s="62" t="s">
        <v>27</v>
      </c>
      <c r="AN1" s="62" t="s">
        <v>33</v>
      </c>
      <c r="AO1" s="62" t="s">
        <v>39</v>
      </c>
      <c r="AP1" s="62" t="s">
        <v>45</v>
      </c>
      <c r="AQ1" s="63" t="s">
        <v>16</v>
      </c>
      <c r="AR1" s="63" t="s">
        <v>22</v>
      </c>
      <c r="AS1" s="63" t="s">
        <v>28</v>
      </c>
      <c r="AT1" s="63" t="s">
        <v>34</v>
      </c>
      <c r="AU1" s="63" t="s">
        <v>40</v>
      </c>
      <c r="AV1" s="63" t="s">
        <v>46</v>
      </c>
      <c r="AW1" s="62" t="s">
        <v>74</v>
      </c>
      <c r="AX1" s="62" t="s">
        <v>75</v>
      </c>
      <c r="AY1" s="62" t="s">
        <v>76</v>
      </c>
      <c r="AZ1" s="62" t="s">
        <v>77</v>
      </c>
      <c r="BA1" s="62" t="s">
        <v>78</v>
      </c>
      <c r="BB1" s="62" t="s">
        <v>79</v>
      </c>
      <c r="BC1" s="64" t="s">
        <v>56</v>
      </c>
      <c r="BD1" s="64" t="s">
        <v>57</v>
      </c>
      <c r="BE1" s="63" t="s">
        <v>278</v>
      </c>
    </row>
    <row r="2" spans="1:57" s="65" customFormat="1" ht="12.75" customHeight="1" x14ac:dyDescent="0.3">
      <c r="A2" s="66" t="str">
        <f>""</f>
        <v/>
      </c>
      <c r="B2" s="66" t="str">
        <f>""</f>
        <v/>
      </c>
      <c r="C2" s="66" t="str">
        <f>""</f>
        <v/>
      </c>
      <c r="D2" s="66" t="str">
        <f>""</f>
        <v/>
      </c>
      <c r="E2" s="66" t="str">
        <f>""</f>
        <v/>
      </c>
      <c r="F2" s="66" t="str">
        <f>""</f>
        <v/>
      </c>
      <c r="G2" s="66" t="str">
        <f>""</f>
        <v/>
      </c>
      <c r="H2" s="66" t="str">
        <f>""</f>
        <v/>
      </c>
      <c r="I2" s="66" t="str">
        <f>""</f>
        <v/>
      </c>
      <c r="J2" s="66" t="str">
        <f>""</f>
        <v/>
      </c>
      <c r="K2" s="66" t="str">
        <f>""</f>
        <v/>
      </c>
      <c r="L2" s="66" t="str">
        <f>""</f>
        <v/>
      </c>
      <c r="M2" s="66" t="str">
        <f>""</f>
        <v/>
      </c>
      <c r="N2" s="66" t="str">
        <f>""</f>
        <v/>
      </c>
      <c r="O2" s="66" t="str">
        <f>""</f>
        <v/>
      </c>
      <c r="P2" s="66" t="str">
        <f>""</f>
        <v/>
      </c>
      <c r="Q2" s="66" t="str">
        <f>""</f>
        <v/>
      </c>
      <c r="R2" s="66" t="str">
        <f>""</f>
        <v/>
      </c>
      <c r="S2" s="66" t="str">
        <f>""</f>
        <v/>
      </c>
      <c r="T2" s="66" t="str">
        <f>""</f>
        <v/>
      </c>
      <c r="U2" s="66" t="str">
        <f>""</f>
        <v/>
      </c>
      <c r="V2" s="66" t="str">
        <f>""</f>
        <v/>
      </c>
      <c r="W2" s="66" t="str">
        <f>""</f>
        <v/>
      </c>
      <c r="X2" s="66" t="str">
        <f>""</f>
        <v/>
      </c>
      <c r="Y2" s="66" t="str">
        <f>""</f>
        <v/>
      </c>
      <c r="Z2" s="66" t="str">
        <f>""</f>
        <v/>
      </c>
      <c r="AA2" s="66" t="str">
        <f>""</f>
        <v/>
      </c>
      <c r="AB2" s="66" t="str">
        <f>""</f>
        <v/>
      </c>
      <c r="AC2" s="66" t="str">
        <f>""</f>
        <v/>
      </c>
      <c r="AD2" s="66" t="str">
        <f>""</f>
        <v/>
      </c>
      <c r="AE2" s="66" t="str">
        <f>""</f>
        <v/>
      </c>
      <c r="AF2" s="66" t="str">
        <f>""</f>
        <v/>
      </c>
      <c r="AG2" s="66" t="str">
        <f>""</f>
        <v/>
      </c>
      <c r="AH2" s="66" t="str">
        <f>""</f>
        <v/>
      </c>
      <c r="AI2" s="66" t="str">
        <f>""</f>
        <v/>
      </c>
      <c r="AJ2" s="66" t="str">
        <f>""</f>
        <v/>
      </c>
      <c r="AK2" s="66" t="str">
        <f>""</f>
        <v/>
      </c>
      <c r="AL2" s="66" t="str">
        <f>""</f>
        <v/>
      </c>
      <c r="AM2" s="66" t="str">
        <f>""</f>
        <v/>
      </c>
      <c r="AN2" s="66" t="str">
        <f>""</f>
        <v/>
      </c>
      <c r="AO2" s="66" t="str">
        <f>""</f>
        <v/>
      </c>
      <c r="AP2" s="66" t="str">
        <f>""</f>
        <v/>
      </c>
      <c r="AQ2" s="66" t="str">
        <f>""</f>
        <v/>
      </c>
      <c r="AR2" s="66" t="str">
        <f>""</f>
        <v/>
      </c>
      <c r="AS2" s="66" t="str">
        <f>""</f>
        <v/>
      </c>
      <c r="AT2" s="66" t="str">
        <f>""</f>
        <v/>
      </c>
      <c r="AU2" s="66" t="str">
        <f>""</f>
        <v/>
      </c>
      <c r="AV2" s="66" t="str">
        <f>""</f>
        <v/>
      </c>
      <c r="AW2" s="66" t="str">
        <f>""</f>
        <v/>
      </c>
      <c r="AX2" s="66" t="str">
        <f>""</f>
        <v/>
      </c>
      <c r="AY2" s="66" t="str">
        <f>""</f>
        <v/>
      </c>
      <c r="AZ2" s="66" t="str">
        <f>""</f>
        <v/>
      </c>
      <c r="BA2" s="66" t="str">
        <f>""</f>
        <v/>
      </c>
      <c r="BB2" s="66" t="str">
        <f>""</f>
        <v/>
      </c>
      <c r="BC2" s="66" t="str">
        <f>""</f>
        <v/>
      </c>
      <c r="BD2" s="66" t="str">
        <f>""</f>
        <v/>
      </c>
      <c r="BE2" s="66" t="str">
        <f>""</f>
        <v/>
      </c>
    </row>
  </sheetData>
  <conditionalFormatting sqref="B1:AJ1">
    <cfRule type="duplicateValues" dxfId="44" priority="5"/>
  </conditionalFormatting>
  <conditionalFormatting sqref="AK1:BB1">
    <cfRule type="duplicateValues" dxfId="43" priority="4"/>
  </conditionalFormatting>
  <conditionalFormatting sqref="AK1:BB1">
    <cfRule type="duplicateValues" dxfId="42" priority="3"/>
  </conditionalFormatting>
  <conditionalFormatting sqref="A1">
    <cfRule type="duplicateValues" dxfId="41" priority="2"/>
  </conditionalFormatting>
  <conditionalFormatting sqref="A1">
    <cfRule type="duplicateValues" dxfId="40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BE2"/>
  <sheetViews>
    <sheetView showGridLines="0" zoomScale="130" zoomScaleNormal="130" workbookViewId="0">
      <selection activeCell="A3" sqref="A3:XFD1048576"/>
    </sheetView>
  </sheetViews>
  <sheetFormatPr baseColWidth="10" defaultColWidth="9.109375" defaultRowHeight="14.4" x14ac:dyDescent="0.3"/>
  <cols>
    <col min="1" max="1" width="12" bestFit="1" customWidth="1"/>
    <col min="2" max="2" width="14.5546875" bestFit="1" customWidth="1"/>
    <col min="3" max="3" width="24.5546875" customWidth="1"/>
    <col min="4" max="4" width="8.6640625" customWidth="1"/>
    <col min="5" max="5" width="9.6640625" customWidth="1"/>
    <col min="6" max="6" width="10.109375" customWidth="1"/>
    <col min="7" max="7" width="10.6640625" customWidth="1"/>
    <col min="8" max="8" width="11.109375" customWidth="1"/>
    <col min="9" max="9" width="18.88671875" customWidth="1"/>
    <col min="10" max="10" width="11.44140625" customWidth="1"/>
    <col min="11" max="11" width="11.109375" customWidth="1"/>
    <col min="12" max="12" width="11" customWidth="1"/>
    <col min="13" max="14" width="11.109375" customWidth="1"/>
    <col min="15" max="15" width="19.109375" customWidth="1"/>
    <col min="16" max="16" width="11.6640625" customWidth="1"/>
    <col min="17" max="17" width="11.5546875" customWidth="1"/>
    <col min="18" max="18" width="11.44140625" customWidth="1"/>
    <col min="19" max="19" width="8.44140625" customWidth="1"/>
    <col min="20" max="20" width="9" customWidth="1"/>
    <col min="21" max="21" width="9.109375" customWidth="1"/>
    <col min="22" max="23" width="9.33203125" customWidth="1"/>
    <col min="24" max="24" width="9.109375" customWidth="1"/>
    <col min="25" max="25" width="8.44140625" customWidth="1"/>
    <col min="26" max="27" width="9.109375" customWidth="1"/>
    <col min="28" max="29" width="9.33203125" customWidth="1"/>
    <col min="30" max="30" width="9.109375" customWidth="1"/>
    <col min="31" max="31" width="8.44140625" customWidth="1"/>
    <col min="32" max="32" width="15.5546875" customWidth="1"/>
    <col min="33" max="33" width="22.88671875" customWidth="1"/>
    <col min="34" max="34" width="11.6640625" customWidth="1"/>
    <col min="35" max="35" width="11.5546875" customWidth="1"/>
    <col min="36" max="36" width="11.44140625" customWidth="1"/>
    <col min="37" max="37" width="11.109375" customWidth="1"/>
    <col min="38" max="38" width="19.6640625" customWidth="1"/>
    <col min="39" max="39" width="22.88671875" customWidth="1"/>
    <col min="40" max="40" width="11.6640625" customWidth="1"/>
    <col min="41" max="41" width="11.5546875" customWidth="1"/>
    <col min="42" max="42" width="11.44140625" customWidth="1"/>
    <col min="43" max="43" width="11.109375" customWidth="1"/>
    <col min="44" max="44" width="18.33203125" customWidth="1"/>
    <col min="45" max="45" width="9.109375" customWidth="1"/>
    <col min="46" max="46" width="11.6640625" customWidth="1"/>
    <col min="47" max="47" width="11.5546875" customWidth="1"/>
    <col min="48" max="48" width="11.44140625" customWidth="1"/>
    <col min="49" max="49" width="10.6640625" bestFit="1" customWidth="1"/>
    <col min="50" max="50" width="5" customWidth="1"/>
  </cols>
  <sheetData>
    <row r="1" spans="1:57" s="65" customFormat="1" x14ac:dyDescent="0.3">
      <c r="A1" s="61" t="s">
        <v>83</v>
      </c>
      <c r="B1" s="62" t="s">
        <v>55</v>
      </c>
      <c r="C1" s="62" t="s">
        <v>0</v>
      </c>
      <c r="D1" s="62" t="s">
        <v>4</v>
      </c>
      <c r="E1" s="62" t="s">
        <v>2</v>
      </c>
      <c r="F1" s="62" t="s">
        <v>3</v>
      </c>
      <c r="G1" s="63" t="s">
        <v>5</v>
      </c>
      <c r="H1" s="63" t="s">
        <v>6</v>
      </c>
      <c r="I1" s="63" t="s">
        <v>7</v>
      </c>
      <c r="J1" s="63" t="s">
        <v>8</v>
      </c>
      <c r="K1" s="63" t="s">
        <v>9</v>
      </c>
      <c r="L1" s="63" t="s">
        <v>10</v>
      </c>
      <c r="M1" s="63" t="s">
        <v>11</v>
      </c>
      <c r="N1" s="62" t="s">
        <v>17</v>
      </c>
      <c r="O1" s="62" t="s">
        <v>23</v>
      </c>
      <c r="P1" s="62" t="s">
        <v>29</v>
      </c>
      <c r="Q1" s="62" t="s">
        <v>35</v>
      </c>
      <c r="R1" s="62" t="s">
        <v>41</v>
      </c>
      <c r="S1" s="63" t="s">
        <v>12</v>
      </c>
      <c r="T1" s="63" t="s">
        <v>18</v>
      </c>
      <c r="U1" s="63" t="s">
        <v>24</v>
      </c>
      <c r="V1" s="63" t="s">
        <v>30</v>
      </c>
      <c r="W1" s="63" t="s">
        <v>36</v>
      </c>
      <c r="X1" s="63" t="s">
        <v>42</v>
      </c>
      <c r="Y1" s="62" t="s">
        <v>13</v>
      </c>
      <c r="Z1" s="62" t="s">
        <v>19</v>
      </c>
      <c r="AA1" s="62" t="s">
        <v>25</v>
      </c>
      <c r="AB1" s="62" t="s">
        <v>31</v>
      </c>
      <c r="AC1" s="62" t="s">
        <v>37</v>
      </c>
      <c r="AD1" s="62" t="s">
        <v>43</v>
      </c>
      <c r="AE1" s="63" t="s">
        <v>14</v>
      </c>
      <c r="AF1" s="63" t="s">
        <v>20</v>
      </c>
      <c r="AG1" s="63" t="s">
        <v>26</v>
      </c>
      <c r="AH1" s="63" t="s">
        <v>32</v>
      </c>
      <c r="AI1" s="63" t="s">
        <v>38</v>
      </c>
      <c r="AJ1" s="63" t="s">
        <v>44</v>
      </c>
      <c r="AK1" s="62" t="s">
        <v>15</v>
      </c>
      <c r="AL1" s="62" t="s">
        <v>21</v>
      </c>
      <c r="AM1" s="62" t="s">
        <v>27</v>
      </c>
      <c r="AN1" s="62" t="s">
        <v>33</v>
      </c>
      <c r="AO1" s="62" t="s">
        <v>39</v>
      </c>
      <c r="AP1" s="62" t="s">
        <v>45</v>
      </c>
      <c r="AQ1" s="63" t="s">
        <v>16</v>
      </c>
      <c r="AR1" s="63" t="s">
        <v>22</v>
      </c>
      <c r="AS1" s="63" t="s">
        <v>28</v>
      </c>
      <c r="AT1" s="63" t="s">
        <v>34</v>
      </c>
      <c r="AU1" s="63" t="s">
        <v>40</v>
      </c>
      <c r="AV1" s="63" t="s">
        <v>46</v>
      </c>
      <c r="AW1" s="62" t="s">
        <v>74</v>
      </c>
      <c r="AX1" s="62" t="s">
        <v>75</v>
      </c>
      <c r="AY1" s="62" t="s">
        <v>76</v>
      </c>
      <c r="AZ1" s="62" t="s">
        <v>77</v>
      </c>
      <c r="BA1" s="62" t="s">
        <v>78</v>
      </c>
      <c r="BB1" s="62" t="s">
        <v>79</v>
      </c>
      <c r="BC1" s="64" t="s">
        <v>56</v>
      </c>
      <c r="BD1" s="64" t="s">
        <v>57</v>
      </c>
      <c r="BE1" s="63" t="s">
        <v>278</v>
      </c>
    </row>
    <row r="2" spans="1:57" s="65" customFormat="1" ht="12.75" customHeight="1" x14ac:dyDescent="0.3">
      <c r="A2" s="66" t="str">
        <f>""</f>
        <v/>
      </c>
      <c r="B2" s="66" t="str">
        <f>""</f>
        <v/>
      </c>
      <c r="C2" s="66" t="str">
        <f>""</f>
        <v/>
      </c>
      <c r="D2" s="66" t="str">
        <f>""</f>
        <v/>
      </c>
      <c r="E2" s="66" t="str">
        <f>""</f>
        <v/>
      </c>
      <c r="F2" s="66" t="str">
        <f>""</f>
        <v/>
      </c>
      <c r="G2" s="66" t="str">
        <f>""</f>
        <v/>
      </c>
      <c r="H2" s="66" t="str">
        <f>""</f>
        <v/>
      </c>
      <c r="I2" s="66" t="str">
        <f>""</f>
        <v/>
      </c>
      <c r="J2" s="66" t="str">
        <f>""</f>
        <v/>
      </c>
      <c r="K2" s="66" t="str">
        <f>""</f>
        <v/>
      </c>
      <c r="L2" s="66" t="str">
        <f>""</f>
        <v/>
      </c>
      <c r="M2" s="66" t="str">
        <f>""</f>
        <v/>
      </c>
      <c r="N2" s="66" t="str">
        <f>""</f>
        <v/>
      </c>
      <c r="O2" s="66" t="str">
        <f>""</f>
        <v/>
      </c>
      <c r="P2" s="66" t="str">
        <f>""</f>
        <v/>
      </c>
      <c r="Q2" s="66" t="str">
        <f>""</f>
        <v/>
      </c>
      <c r="R2" s="66" t="str">
        <f>""</f>
        <v/>
      </c>
      <c r="S2" s="66" t="str">
        <f>""</f>
        <v/>
      </c>
      <c r="T2" s="66" t="str">
        <f>""</f>
        <v/>
      </c>
      <c r="U2" s="66" t="str">
        <f>""</f>
        <v/>
      </c>
      <c r="V2" s="66" t="str">
        <f>""</f>
        <v/>
      </c>
      <c r="W2" s="66" t="str">
        <f>""</f>
        <v/>
      </c>
      <c r="X2" s="66" t="str">
        <f>""</f>
        <v/>
      </c>
      <c r="Y2" s="66" t="str">
        <f>""</f>
        <v/>
      </c>
      <c r="Z2" s="66" t="str">
        <f>""</f>
        <v/>
      </c>
      <c r="AA2" s="66" t="str">
        <f>""</f>
        <v/>
      </c>
      <c r="AB2" s="66" t="str">
        <f>""</f>
        <v/>
      </c>
      <c r="AC2" s="66" t="str">
        <f>""</f>
        <v/>
      </c>
      <c r="AD2" s="66" t="str">
        <f>""</f>
        <v/>
      </c>
      <c r="AE2" s="66" t="str">
        <f>""</f>
        <v/>
      </c>
      <c r="AF2" s="66" t="str">
        <f>""</f>
        <v/>
      </c>
      <c r="AG2" s="66" t="str">
        <f>""</f>
        <v/>
      </c>
      <c r="AH2" s="66" t="str">
        <f>""</f>
        <v/>
      </c>
      <c r="AI2" s="66" t="str">
        <f>""</f>
        <v/>
      </c>
      <c r="AJ2" s="66" t="str">
        <f>""</f>
        <v/>
      </c>
      <c r="AK2" s="66" t="str">
        <f>""</f>
        <v/>
      </c>
      <c r="AL2" s="66" t="str">
        <f>""</f>
        <v/>
      </c>
      <c r="AM2" s="66" t="str">
        <f>""</f>
        <v/>
      </c>
      <c r="AN2" s="66" t="str">
        <f>""</f>
        <v/>
      </c>
      <c r="AO2" s="66" t="str">
        <f>""</f>
        <v/>
      </c>
      <c r="AP2" s="66" t="str">
        <f>""</f>
        <v/>
      </c>
      <c r="AQ2" s="66" t="str">
        <f>""</f>
        <v/>
      </c>
      <c r="AR2" s="66" t="str">
        <f>""</f>
        <v/>
      </c>
      <c r="AS2" s="66" t="str">
        <f>""</f>
        <v/>
      </c>
      <c r="AT2" s="66" t="str">
        <f>""</f>
        <v/>
      </c>
      <c r="AU2" s="66" t="str">
        <f>""</f>
        <v/>
      </c>
      <c r="AV2" s="66" t="str">
        <f>""</f>
        <v/>
      </c>
      <c r="AW2" s="66" t="str">
        <f>""</f>
        <v/>
      </c>
      <c r="AX2" s="66" t="str">
        <f>""</f>
        <v/>
      </c>
      <c r="AY2" s="66" t="str">
        <f>""</f>
        <v/>
      </c>
      <c r="AZ2" s="66" t="str">
        <f>""</f>
        <v/>
      </c>
      <c r="BA2" s="66" t="str">
        <f>""</f>
        <v/>
      </c>
      <c r="BB2" s="66" t="str">
        <f>""</f>
        <v/>
      </c>
      <c r="BC2" s="66" t="str">
        <f>""</f>
        <v/>
      </c>
      <c r="BD2" s="66" t="str">
        <f>""</f>
        <v/>
      </c>
      <c r="BE2" s="66" t="str">
        <f>""</f>
        <v/>
      </c>
    </row>
  </sheetData>
  <conditionalFormatting sqref="B1:AJ1">
    <cfRule type="duplicateValues" dxfId="39" priority="5"/>
  </conditionalFormatting>
  <conditionalFormatting sqref="AK1:BB1">
    <cfRule type="duplicateValues" dxfId="38" priority="4"/>
  </conditionalFormatting>
  <conditionalFormatting sqref="AK1:BB1">
    <cfRule type="duplicateValues" dxfId="37" priority="3"/>
  </conditionalFormatting>
  <conditionalFormatting sqref="A1">
    <cfRule type="duplicateValues" dxfId="36" priority="2"/>
  </conditionalFormatting>
  <conditionalFormatting sqref="A1">
    <cfRule type="duplicateValues" dxfId="35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E2"/>
  <sheetViews>
    <sheetView showGridLines="0" workbookViewId="0">
      <selection activeCell="A3" sqref="A3:XFD1048576"/>
    </sheetView>
  </sheetViews>
  <sheetFormatPr baseColWidth="10" defaultColWidth="9.109375" defaultRowHeight="14.4" x14ac:dyDescent="0.3"/>
  <cols>
    <col min="2" max="2" width="6.88671875" bestFit="1" customWidth="1"/>
    <col min="3" max="3" width="10.6640625" bestFit="1" customWidth="1"/>
    <col min="4" max="4" width="6" bestFit="1" customWidth="1"/>
    <col min="5" max="6" width="7.33203125" bestFit="1" customWidth="1"/>
    <col min="7" max="7" width="8.44140625" bestFit="1" customWidth="1"/>
    <col min="8" max="8" width="8.6640625" bestFit="1" customWidth="1"/>
    <col min="9" max="9" width="9.44140625" bestFit="1" customWidth="1"/>
    <col min="10" max="11" width="9.33203125" bestFit="1" customWidth="1"/>
    <col min="13" max="13" width="8.44140625" bestFit="1" customWidth="1"/>
    <col min="14" max="14" width="8.6640625" bestFit="1" customWidth="1"/>
    <col min="15" max="15" width="9.44140625" bestFit="1" customWidth="1"/>
    <col min="16" max="17" width="9.33203125" bestFit="1" customWidth="1"/>
    <col min="19" max="19" width="8.44140625" bestFit="1" customWidth="1"/>
    <col min="20" max="20" width="8.6640625" bestFit="1" customWidth="1"/>
    <col min="21" max="21" width="9.44140625" bestFit="1" customWidth="1"/>
    <col min="22" max="23" width="9.33203125" bestFit="1" customWidth="1"/>
    <col min="25" max="25" width="8.44140625" bestFit="1" customWidth="1"/>
    <col min="26" max="26" width="8.6640625" bestFit="1" customWidth="1"/>
    <col min="27" max="27" width="9.44140625" bestFit="1" customWidth="1"/>
    <col min="28" max="29" width="9.33203125" bestFit="1" customWidth="1"/>
    <col min="31" max="31" width="8.44140625" bestFit="1" customWidth="1"/>
    <col min="32" max="32" width="8.6640625" bestFit="1" customWidth="1"/>
    <col min="33" max="33" width="9.44140625" bestFit="1" customWidth="1"/>
    <col min="34" max="35" width="9.33203125" bestFit="1" customWidth="1"/>
    <col min="37" max="37" width="8.44140625" bestFit="1" customWidth="1"/>
    <col min="38" max="38" width="8.6640625" bestFit="1" customWidth="1"/>
    <col min="39" max="39" width="9.44140625" bestFit="1" customWidth="1"/>
    <col min="40" max="41" width="9.33203125" bestFit="1" customWidth="1"/>
    <col min="43" max="43" width="8.44140625" bestFit="1" customWidth="1"/>
    <col min="44" max="44" width="8.6640625" bestFit="1" customWidth="1"/>
    <col min="45" max="45" width="9.44140625" bestFit="1" customWidth="1"/>
    <col min="46" max="47" width="9.33203125" bestFit="1" customWidth="1"/>
    <col min="49" max="49" width="8.44140625" bestFit="1" customWidth="1"/>
    <col min="50" max="50" width="8.6640625" bestFit="1" customWidth="1"/>
    <col min="51" max="51" width="9.44140625" bestFit="1" customWidth="1"/>
    <col min="52" max="53" width="9.33203125" bestFit="1" customWidth="1"/>
    <col min="55" max="55" width="10.6640625" bestFit="1" customWidth="1"/>
    <col min="56" max="56" width="4.109375" bestFit="1" customWidth="1"/>
  </cols>
  <sheetData>
    <row r="1" spans="1:57" s="65" customFormat="1" x14ac:dyDescent="0.3">
      <c r="A1" s="61" t="s">
        <v>83</v>
      </c>
      <c r="B1" s="62" t="s">
        <v>55</v>
      </c>
      <c r="C1" s="62" t="s">
        <v>0</v>
      </c>
      <c r="D1" s="62" t="s">
        <v>4</v>
      </c>
      <c r="E1" s="62" t="s">
        <v>2</v>
      </c>
      <c r="F1" s="62" t="s">
        <v>3</v>
      </c>
      <c r="G1" s="63" t="s">
        <v>5</v>
      </c>
      <c r="H1" s="63" t="s">
        <v>6</v>
      </c>
      <c r="I1" s="63" t="s">
        <v>7</v>
      </c>
      <c r="J1" s="63" t="s">
        <v>8</v>
      </c>
      <c r="K1" s="63" t="s">
        <v>9</v>
      </c>
      <c r="L1" s="63" t="s">
        <v>10</v>
      </c>
      <c r="M1" s="63" t="s">
        <v>11</v>
      </c>
      <c r="N1" s="62" t="s">
        <v>17</v>
      </c>
      <c r="O1" s="62" t="s">
        <v>23</v>
      </c>
      <c r="P1" s="62" t="s">
        <v>29</v>
      </c>
      <c r="Q1" s="62" t="s">
        <v>35</v>
      </c>
      <c r="R1" s="62" t="s">
        <v>41</v>
      </c>
      <c r="S1" s="63" t="s">
        <v>12</v>
      </c>
      <c r="T1" s="63" t="s">
        <v>18</v>
      </c>
      <c r="U1" s="63" t="s">
        <v>24</v>
      </c>
      <c r="V1" s="63" t="s">
        <v>30</v>
      </c>
      <c r="W1" s="63" t="s">
        <v>36</v>
      </c>
      <c r="X1" s="63" t="s">
        <v>42</v>
      </c>
      <c r="Y1" s="62" t="s">
        <v>13</v>
      </c>
      <c r="Z1" s="62" t="s">
        <v>19</v>
      </c>
      <c r="AA1" s="62" t="s">
        <v>25</v>
      </c>
      <c r="AB1" s="62" t="s">
        <v>31</v>
      </c>
      <c r="AC1" s="62" t="s">
        <v>37</v>
      </c>
      <c r="AD1" s="62" t="s">
        <v>43</v>
      </c>
      <c r="AE1" s="63" t="s">
        <v>14</v>
      </c>
      <c r="AF1" s="63" t="s">
        <v>20</v>
      </c>
      <c r="AG1" s="63" t="s">
        <v>26</v>
      </c>
      <c r="AH1" s="63" t="s">
        <v>32</v>
      </c>
      <c r="AI1" s="63" t="s">
        <v>38</v>
      </c>
      <c r="AJ1" s="63" t="s">
        <v>44</v>
      </c>
      <c r="AK1" s="62" t="s">
        <v>15</v>
      </c>
      <c r="AL1" s="62" t="s">
        <v>21</v>
      </c>
      <c r="AM1" s="62" t="s">
        <v>27</v>
      </c>
      <c r="AN1" s="62" t="s">
        <v>33</v>
      </c>
      <c r="AO1" s="62" t="s">
        <v>39</v>
      </c>
      <c r="AP1" s="62" t="s">
        <v>45</v>
      </c>
      <c r="AQ1" s="63" t="s">
        <v>16</v>
      </c>
      <c r="AR1" s="63" t="s">
        <v>22</v>
      </c>
      <c r="AS1" s="63" t="s">
        <v>28</v>
      </c>
      <c r="AT1" s="63" t="s">
        <v>34</v>
      </c>
      <c r="AU1" s="63" t="s">
        <v>40</v>
      </c>
      <c r="AV1" s="63" t="s">
        <v>46</v>
      </c>
      <c r="AW1" s="62" t="s">
        <v>74</v>
      </c>
      <c r="AX1" s="62" t="s">
        <v>75</v>
      </c>
      <c r="AY1" s="62" t="s">
        <v>76</v>
      </c>
      <c r="AZ1" s="62" t="s">
        <v>77</v>
      </c>
      <c r="BA1" s="62" t="s">
        <v>78</v>
      </c>
      <c r="BB1" s="62" t="s">
        <v>79</v>
      </c>
      <c r="BC1" s="64" t="s">
        <v>56</v>
      </c>
      <c r="BD1" s="64" t="s">
        <v>57</v>
      </c>
      <c r="BE1" s="63" t="s">
        <v>278</v>
      </c>
    </row>
    <row r="2" spans="1:57" s="65" customFormat="1" x14ac:dyDescent="0.3">
      <c r="A2" s="65" t="str">
        <f>""</f>
        <v/>
      </c>
      <c r="B2" s="65" t="str">
        <f>""</f>
        <v/>
      </c>
      <c r="C2" s="65" t="str">
        <f>""</f>
        <v/>
      </c>
      <c r="D2" s="65" t="str">
        <f>""</f>
        <v/>
      </c>
      <c r="E2" s="65" t="str">
        <f>""</f>
        <v/>
      </c>
      <c r="F2" s="65" t="str">
        <f>""</f>
        <v/>
      </c>
      <c r="G2" s="65" t="str">
        <f>""</f>
        <v/>
      </c>
      <c r="H2" s="65" t="str">
        <f>""</f>
        <v/>
      </c>
      <c r="I2" s="65" t="str">
        <f>""</f>
        <v/>
      </c>
      <c r="J2" s="65" t="str">
        <f>""</f>
        <v/>
      </c>
      <c r="K2" s="65" t="str">
        <f>""</f>
        <v/>
      </c>
      <c r="L2" s="65" t="str">
        <f>""</f>
        <v/>
      </c>
      <c r="M2" s="65" t="str">
        <f>""</f>
        <v/>
      </c>
      <c r="N2" s="65" t="str">
        <f>""</f>
        <v/>
      </c>
      <c r="O2" s="65" t="str">
        <f>""</f>
        <v/>
      </c>
      <c r="P2" s="65" t="str">
        <f>""</f>
        <v/>
      </c>
      <c r="Q2" s="65" t="str">
        <f>""</f>
        <v/>
      </c>
      <c r="R2" s="65" t="str">
        <f>""</f>
        <v/>
      </c>
      <c r="S2" s="65" t="str">
        <f>""</f>
        <v/>
      </c>
      <c r="T2" s="65" t="str">
        <f>""</f>
        <v/>
      </c>
      <c r="U2" s="65" t="str">
        <f>""</f>
        <v/>
      </c>
      <c r="V2" s="65" t="str">
        <f>""</f>
        <v/>
      </c>
      <c r="W2" s="65" t="str">
        <f>""</f>
        <v/>
      </c>
      <c r="X2" s="65" t="str">
        <f>""</f>
        <v/>
      </c>
      <c r="Y2" s="65" t="str">
        <f>""</f>
        <v/>
      </c>
      <c r="Z2" s="65" t="str">
        <f>""</f>
        <v/>
      </c>
      <c r="AA2" s="65" t="str">
        <f>""</f>
        <v/>
      </c>
      <c r="AB2" s="65" t="str">
        <f>""</f>
        <v/>
      </c>
      <c r="AC2" s="65" t="str">
        <f>""</f>
        <v/>
      </c>
      <c r="AD2" s="65" t="str">
        <f>""</f>
        <v/>
      </c>
      <c r="AE2" s="65" t="str">
        <f>""</f>
        <v/>
      </c>
      <c r="AF2" s="65" t="str">
        <f>""</f>
        <v/>
      </c>
      <c r="AG2" s="65" t="str">
        <f>""</f>
        <v/>
      </c>
      <c r="AH2" s="65" t="str">
        <f>""</f>
        <v/>
      </c>
      <c r="AI2" s="65" t="str">
        <f>""</f>
        <v/>
      </c>
      <c r="AJ2" s="65" t="str">
        <f>""</f>
        <v/>
      </c>
      <c r="AK2" s="65" t="str">
        <f>""</f>
        <v/>
      </c>
      <c r="AL2" s="65" t="str">
        <f>""</f>
        <v/>
      </c>
      <c r="AM2" s="65" t="str">
        <f>""</f>
        <v/>
      </c>
      <c r="AN2" s="65" t="str">
        <f>""</f>
        <v/>
      </c>
      <c r="AO2" s="65" t="str">
        <f>""</f>
        <v/>
      </c>
      <c r="AP2" s="65" t="str">
        <f>""</f>
        <v/>
      </c>
      <c r="AW2" s="65" t="str">
        <f>""</f>
        <v/>
      </c>
      <c r="AX2" s="65" t="str">
        <f>""</f>
        <v/>
      </c>
      <c r="AY2" s="65" t="str">
        <f>""</f>
        <v/>
      </c>
      <c r="AZ2" s="65" t="str">
        <f>""</f>
        <v/>
      </c>
      <c r="BA2" s="65" t="str">
        <f>""</f>
        <v/>
      </c>
      <c r="BB2" s="65" t="str">
        <f>""</f>
        <v/>
      </c>
      <c r="BC2" s="65" t="str">
        <f>""</f>
        <v/>
      </c>
      <c r="BD2" s="65" t="str">
        <f>""</f>
        <v/>
      </c>
      <c r="BE2" s="65" t="str">
        <f>""</f>
        <v/>
      </c>
    </row>
  </sheetData>
  <conditionalFormatting sqref="B1:AJ1">
    <cfRule type="duplicateValues" dxfId="34" priority="5"/>
  </conditionalFormatting>
  <conditionalFormatting sqref="AK1:BB1">
    <cfRule type="duplicateValues" dxfId="33" priority="4"/>
  </conditionalFormatting>
  <conditionalFormatting sqref="AK1:BB1">
    <cfRule type="duplicateValues" dxfId="32" priority="3"/>
  </conditionalFormatting>
  <conditionalFormatting sqref="A1">
    <cfRule type="duplicateValues" dxfId="31" priority="2"/>
  </conditionalFormatting>
  <conditionalFormatting sqref="A1">
    <cfRule type="duplicateValues" dxfId="3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BE2"/>
  <sheetViews>
    <sheetView showGridLines="0" zoomScale="145" zoomScaleNormal="145" workbookViewId="0">
      <selection activeCell="G20" sqref="G20"/>
    </sheetView>
  </sheetViews>
  <sheetFormatPr baseColWidth="10" defaultColWidth="9.109375" defaultRowHeight="14.4" x14ac:dyDescent="0.3"/>
  <cols>
    <col min="1" max="1" width="12" bestFit="1" customWidth="1"/>
    <col min="2" max="2" width="14.33203125" bestFit="1" customWidth="1"/>
    <col min="3" max="3" width="22.88671875" bestFit="1" customWidth="1"/>
    <col min="4" max="4" width="8.6640625" customWidth="1"/>
    <col min="5" max="5" width="9.6640625" customWidth="1"/>
    <col min="6" max="6" width="10.109375" customWidth="1"/>
    <col min="7" max="7" width="10.6640625" customWidth="1"/>
    <col min="8" max="8" width="11.109375" customWidth="1"/>
    <col min="9" max="9" width="23.88671875" customWidth="1"/>
    <col min="10" max="10" width="11.44140625" customWidth="1"/>
    <col min="11" max="11" width="11.109375" customWidth="1"/>
    <col min="12" max="12" width="11" customWidth="1"/>
    <col min="13" max="14" width="11.109375" customWidth="1"/>
    <col min="15" max="15" width="29.5546875" customWidth="1"/>
    <col min="16" max="16" width="11.6640625" customWidth="1"/>
    <col min="17" max="17" width="11.5546875" customWidth="1"/>
    <col min="18" max="18" width="11.44140625" customWidth="1"/>
    <col min="19" max="20" width="11.109375" customWidth="1"/>
    <col min="21" max="21" width="32" customWidth="1"/>
    <col min="22" max="22" width="11.6640625" customWidth="1"/>
    <col min="23" max="23" width="11.5546875" customWidth="1"/>
    <col min="24" max="24" width="11.44140625" customWidth="1"/>
    <col min="25" max="26" width="11.109375" customWidth="1"/>
    <col min="27" max="27" width="32" customWidth="1"/>
    <col min="28" max="28" width="11.6640625" customWidth="1"/>
    <col min="29" max="29" width="11.5546875" customWidth="1"/>
    <col min="30" max="30" width="11.44140625" customWidth="1"/>
    <col min="31" max="32" width="11.109375" customWidth="1"/>
    <col min="33" max="33" width="28.109375" customWidth="1"/>
    <col min="34" max="34" width="11.6640625" customWidth="1"/>
    <col min="35" max="35" width="11.5546875" customWidth="1"/>
    <col min="36" max="36" width="11.44140625" customWidth="1"/>
    <col min="37" max="38" width="11.109375" customWidth="1"/>
    <col min="39" max="39" width="28.109375" customWidth="1"/>
    <col min="40" max="40" width="11.6640625" customWidth="1"/>
    <col min="41" max="41" width="11.5546875" customWidth="1"/>
    <col min="42" max="42" width="11.44140625" customWidth="1"/>
    <col min="43" max="44" width="11.109375" customWidth="1"/>
    <col min="45" max="45" width="28.109375" customWidth="1"/>
    <col min="46" max="46" width="11.6640625" customWidth="1"/>
    <col min="47" max="47" width="11.5546875" customWidth="1"/>
    <col min="48" max="48" width="11.44140625" customWidth="1"/>
    <col min="49" max="50" width="11.109375" customWidth="1"/>
    <col min="51" max="51" width="18.6640625" customWidth="1"/>
    <col min="52" max="52" width="11.6640625" customWidth="1"/>
    <col min="53" max="53" width="11.5546875" customWidth="1"/>
    <col min="54" max="54" width="11.44140625" customWidth="1"/>
    <col min="55" max="55" width="11.6640625" bestFit="1" customWidth="1"/>
    <col min="56" max="56" width="7.33203125" customWidth="1"/>
  </cols>
  <sheetData>
    <row r="1" spans="1:57" s="65" customFormat="1" x14ac:dyDescent="0.3">
      <c r="A1" s="61" t="s">
        <v>83</v>
      </c>
      <c r="B1" s="62" t="s">
        <v>55</v>
      </c>
      <c r="C1" s="62" t="s">
        <v>0</v>
      </c>
      <c r="D1" s="62" t="s">
        <v>4</v>
      </c>
      <c r="E1" s="62" t="s">
        <v>2</v>
      </c>
      <c r="F1" s="62" t="s">
        <v>3</v>
      </c>
      <c r="G1" s="63" t="s">
        <v>5</v>
      </c>
      <c r="H1" s="63" t="s">
        <v>6</v>
      </c>
      <c r="I1" s="63" t="s">
        <v>7</v>
      </c>
      <c r="J1" s="63" t="s">
        <v>8</v>
      </c>
      <c r="K1" s="63" t="s">
        <v>9</v>
      </c>
      <c r="L1" s="63" t="s">
        <v>10</v>
      </c>
      <c r="M1" s="63" t="s">
        <v>11</v>
      </c>
      <c r="N1" s="62" t="s">
        <v>17</v>
      </c>
      <c r="O1" s="62" t="s">
        <v>23</v>
      </c>
      <c r="P1" s="62" t="s">
        <v>29</v>
      </c>
      <c r="Q1" s="62" t="s">
        <v>35</v>
      </c>
      <c r="R1" s="62" t="s">
        <v>41</v>
      </c>
      <c r="S1" s="63" t="s">
        <v>12</v>
      </c>
      <c r="T1" s="63" t="s">
        <v>18</v>
      </c>
      <c r="U1" s="63" t="s">
        <v>24</v>
      </c>
      <c r="V1" s="63" t="s">
        <v>30</v>
      </c>
      <c r="W1" s="63" t="s">
        <v>36</v>
      </c>
      <c r="X1" s="63" t="s">
        <v>42</v>
      </c>
      <c r="Y1" s="62" t="s">
        <v>13</v>
      </c>
      <c r="Z1" s="62" t="s">
        <v>19</v>
      </c>
      <c r="AA1" s="62" t="s">
        <v>25</v>
      </c>
      <c r="AB1" s="62" t="s">
        <v>31</v>
      </c>
      <c r="AC1" s="62" t="s">
        <v>37</v>
      </c>
      <c r="AD1" s="62" t="s">
        <v>43</v>
      </c>
      <c r="AE1" s="63" t="s">
        <v>14</v>
      </c>
      <c r="AF1" s="63" t="s">
        <v>20</v>
      </c>
      <c r="AG1" s="63" t="s">
        <v>26</v>
      </c>
      <c r="AH1" s="63" t="s">
        <v>32</v>
      </c>
      <c r="AI1" s="63" t="s">
        <v>38</v>
      </c>
      <c r="AJ1" s="63" t="s">
        <v>44</v>
      </c>
      <c r="AK1" s="62" t="s">
        <v>15</v>
      </c>
      <c r="AL1" s="62" t="s">
        <v>21</v>
      </c>
      <c r="AM1" s="62" t="s">
        <v>27</v>
      </c>
      <c r="AN1" s="62" t="s">
        <v>33</v>
      </c>
      <c r="AO1" s="62" t="s">
        <v>39</v>
      </c>
      <c r="AP1" s="62" t="s">
        <v>45</v>
      </c>
      <c r="AQ1" s="63" t="s">
        <v>16</v>
      </c>
      <c r="AR1" s="63" t="s">
        <v>22</v>
      </c>
      <c r="AS1" s="63" t="s">
        <v>28</v>
      </c>
      <c r="AT1" s="63" t="s">
        <v>34</v>
      </c>
      <c r="AU1" s="63" t="s">
        <v>40</v>
      </c>
      <c r="AV1" s="63" t="s">
        <v>46</v>
      </c>
      <c r="AW1" s="62" t="s">
        <v>74</v>
      </c>
      <c r="AX1" s="62" t="s">
        <v>75</v>
      </c>
      <c r="AY1" s="62" t="s">
        <v>76</v>
      </c>
      <c r="AZ1" s="62" t="s">
        <v>77</v>
      </c>
      <c r="BA1" s="62" t="s">
        <v>78</v>
      </c>
      <c r="BB1" s="62" t="s">
        <v>79</v>
      </c>
      <c r="BC1" s="64" t="s">
        <v>56</v>
      </c>
      <c r="BD1" s="64" t="s">
        <v>57</v>
      </c>
      <c r="BE1" s="63" t="s">
        <v>278</v>
      </c>
    </row>
    <row r="2" spans="1:57" s="65" customFormat="1" ht="12.75" customHeight="1" x14ac:dyDescent="0.3">
      <c r="A2" s="66" t="str">
        <f>""</f>
        <v/>
      </c>
      <c r="B2" s="66" t="str">
        <f>""</f>
        <v/>
      </c>
      <c r="C2" s="66" t="str">
        <f>""</f>
        <v/>
      </c>
      <c r="D2" s="66" t="str">
        <f>""</f>
        <v/>
      </c>
      <c r="E2" s="66" t="str">
        <f>""</f>
        <v/>
      </c>
      <c r="F2" s="66" t="str">
        <f>""</f>
        <v/>
      </c>
      <c r="G2" s="66" t="str">
        <f>""</f>
        <v/>
      </c>
      <c r="H2" s="66" t="str">
        <f>""</f>
        <v/>
      </c>
      <c r="I2" s="66" t="str">
        <f>""</f>
        <v/>
      </c>
      <c r="J2" s="66" t="str">
        <f>""</f>
        <v/>
      </c>
      <c r="K2" s="66" t="str">
        <f>""</f>
        <v/>
      </c>
      <c r="L2" s="66" t="str">
        <f>""</f>
        <v/>
      </c>
      <c r="M2" s="66" t="str">
        <f>""</f>
        <v/>
      </c>
      <c r="N2" s="66" t="str">
        <f>""</f>
        <v/>
      </c>
      <c r="O2" s="66" t="str">
        <f>""</f>
        <v/>
      </c>
      <c r="P2" s="66" t="str">
        <f>""</f>
        <v/>
      </c>
      <c r="Q2" s="66" t="str">
        <f>""</f>
        <v/>
      </c>
      <c r="R2" s="66" t="str">
        <f>""</f>
        <v/>
      </c>
      <c r="S2" s="66" t="str">
        <f>""</f>
        <v/>
      </c>
      <c r="T2" s="66" t="str">
        <f>""</f>
        <v/>
      </c>
      <c r="U2" s="66" t="str">
        <f>""</f>
        <v/>
      </c>
      <c r="V2" s="66" t="str">
        <f>""</f>
        <v/>
      </c>
      <c r="W2" s="66" t="str">
        <f>""</f>
        <v/>
      </c>
      <c r="X2" s="66" t="str">
        <f>""</f>
        <v/>
      </c>
      <c r="Y2" s="66" t="str">
        <f>""</f>
        <v/>
      </c>
      <c r="Z2" s="66" t="str">
        <f>""</f>
        <v/>
      </c>
      <c r="AA2" s="66" t="str">
        <f>""</f>
        <v/>
      </c>
      <c r="AB2" s="66" t="str">
        <f>""</f>
        <v/>
      </c>
      <c r="AC2" s="66" t="str">
        <f>""</f>
        <v/>
      </c>
      <c r="AD2" s="66" t="str">
        <f>""</f>
        <v/>
      </c>
      <c r="AE2" s="66" t="str">
        <f>""</f>
        <v/>
      </c>
      <c r="AF2" s="66" t="str">
        <f>""</f>
        <v/>
      </c>
      <c r="AG2" s="66" t="str">
        <f>""</f>
        <v/>
      </c>
      <c r="AH2" s="66" t="str">
        <f>""</f>
        <v/>
      </c>
      <c r="AI2" s="66" t="str">
        <f>""</f>
        <v/>
      </c>
      <c r="AJ2" s="66" t="str">
        <f>""</f>
        <v/>
      </c>
      <c r="AK2" s="66" t="str">
        <f>""</f>
        <v/>
      </c>
      <c r="AL2" s="66" t="str">
        <f>""</f>
        <v/>
      </c>
      <c r="AM2" s="66" t="str">
        <f>""</f>
        <v/>
      </c>
      <c r="AN2" s="66" t="str">
        <f>""</f>
        <v/>
      </c>
      <c r="AO2" s="66" t="str">
        <f>""</f>
        <v/>
      </c>
      <c r="AP2" s="66" t="str">
        <f>""</f>
        <v/>
      </c>
      <c r="AQ2" s="66" t="str">
        <f>""</f>
        <v/>
      </c>
      <c r="AR2" s="66" t="str">
        <f>""</f>
        <v/>
      </c>
      <c r="AS2" s="66" t="str">
        <f>""</f>
        <v/>
      </c>
      <c r="AT2" s="66" t="str">
        <f>""</f>
        <v/>
      </c>
      <c r="AU2" s="66" t="str">
        <f>""</f>
        <v/>
      </c>
      <c r="AV2" s="66" t="str">
        <f>""</f>
        <v/>
      </c>
      <c r="AW2" s="66" t="str">
        <f>""</f>
        <v/>
      </c>
      <c r="AX2" s="66" t="str">
        <f>""</f>
        <v/>
      </c>
      <c r="AY2" s="66" t="str">
        <f>""</f>
        <v/>
      </c>
      <c r="AZ2" s="66" t="str">
        <f>""</f>
        <v/>
      </c>
      <c r="BA2" s="66" t="str">
        <f>""</f>
        <v/>
      </c>
      <c r="BB2" s="66" t="str">
        <f>""</f>
        <v/>
      </c>
      <c r="BC2" s="66" t="str">
        <f>""</f>
        <v/>
      </c>
      <c r="BD2" s="66" t="str">
        <f>""</f>
        <v/>
      </c>
      <c r="BE2" s="66" t="str">
        <f>""</f>
        <v/>
      </c>
    </row>
  </sheetData>
  <conditionalFormatting sqref="B1:AJ1">
    <cfRule type="duplicateValues" dxfId="29" priority="5"/>
  </conditionalFormatting>
  <conditionalFormatting sqref="AK1:BB1">
    <cfRule type="duplicateValues" dxfId="28" priority="4"/>
  </conditionalFormatting>
  <conditionalFormatting sqref="AK1:BB1">
    <cfRule type="duplicateValues" dxfId="27" priority="3"/>
  </conditionalFormatting>
  <conditionalFormatting sqref="A1">
    <cfRule type="duplicateValues" dxfId="26" priority="2"/>
  </conditionalFormatting>
  <conditionalFormatting sqref="A1">
    <cfRule type="duplicateValues" dxfId="25" priority="1"/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BE2"/>
  <sheetViews>
    <sheetView showGridLines="0" topLeftCell="A61" workbookViewId="0">
      <selection activeCell="E8" sqref="E8"/>
    </sheetView>
  </sheetViews>
  <sheetFormatPr baseColWidth="10" defaultColWidth="9.109375" defaultRowHeight="14.4" x14ac:dyDescent="0.3"/>
  <cols>
    <col min="2" max="2" width="12.109375" bestFit="1" customWidth="1"/>
    <col min="3" max="3" width="18.6640625" bestFit="1" customWidth="1"/>
    <col min="4" max="4" width="6" bestFit="1" customWidth="1"/>
    <col min="5" max="6" width="7.33203125" bestFit="1" customWidth="1"/>
    <col min="7" max="7" width="8.44140625" bestFit="1" customWidth="1"/>
    <col min="8" max="8" width="9" bestFit="1" customWidth="1"/>
    <col min="9" max="9" width="19.5546875" bestFit="1" customWidth="1"/>
    <col min="10" max="11" width="9.33203125" bestFit="1" customWidth="1"/>
    <col min="13" max="13" width="8.44140625" bestFit="1" customWidth="1"/>
    <col min="14" max="14" width="9" bestFit="1" customWidth="1"/>
    <col min="15" max="15" width="24.33203125" bestFit="1" customWidth="1"/>
    <col min="16" max="17" width="9.33203125" bestFit="1" customWidth="1"/>
    <col min="19" max="19" width="8.44140625" bestFit="1" customWidth="1"/>
    <col min="20" max="20" width="9" bestFit="1" customWidth="1"/>
    <col min="21" max="21" width="22.88671875" bestFit="1" customWidth="1"/>
    <col min="22" max="23" width="9.33203125" bestFit="1" customWidth="1"/>
    <col min="25" max="25" width="8.44140625" bestFit="1" customWidth="1"/>
    <col min="26" max="26" width="9" bestFit="1" customWidth="1"/>
    <col min="27" max="27" width="27" bestFit="1" customWidth="1"/>
    <col min="28" max="29" width="9.33203125" bestFit="1" customWidth="1"/>
    <col min="31" max="31" width="8.44140625" bestFit="1" customWidth="1"/>
    <col min="32" max="32" width="8.6640625" bestFit="1" customWidth="1"/>
    <col min="33" max="33" width="11.33203125" bestFit="1" customWidth="1"/>
    <col min="34" max="35" width="9.33203125" bestFit="1" customWidth="1"/>
    <col min="37" max="37" width="8.44140625" bestFit="1" customWidth="1"/>
    <col min="38" max="38" width="9" bestFit="1" customWidth="1"/>
    <col min="39" max="39" width="16.33203125" bestFit="1" customWidth="1"/>
    <col min="40" max="41" width="9.33203125" bestFit="1" customWidth="1"/>
    <col min="43" max="43" width="8.44140625" bestFit="1" customWidth="1"/>
    <col min="44" max="44" width="9" bestFit="1" customWidth="1"/>
    <col min="45" max="45" width="16.33203125" bestFit="1" customWidth="1"/>
    <col min="46" max="47" width="9.33203125" bestFit="1" customWidth="1"/>
    <col min="49" max="49" width="8.44140625" bestFit="1" customWidth="1"/>
    <col min="50" max="50" width="9" bestFit="1" customWidth="1"/>
    <col min="51" max="51" width="16.33203125" bestFit="1" customWidth="1"/>
    <col min="52" max="53" width="9.33203125" bestFit="1" customWidth="1"/>
    <col min="55" max="55" width="10.6640625" bestFit="1" customWidth="1"/>
    <col min="56" max="56" width="8.33203125" bestFit="1" customWidth="1"/>
    <col min="57" max="57" width="11.109375" bestFit="1" customWidth="1"/>
  </cols>
  <sheetData>
    <row r="1" spans="1:57" s="65" customFormat="1" x14ac:dyDescent="0.3">
      <c r="A1" s="61" t="s">
        <v>83</v>
      </c>
      <c r="B1" s="62" t="s">
        <v>55</v>
      </c>
      <c r="C1" s="62" t="s">
        <v>0</v>
      </c>
      <c r="D1" s="62" t="s">
        <v>4</v>
      </c>
      <c r="E1" s="62" t="s">
        <v>2</v>
      </c>
      <c r="F1" s="62" t="s">
        <v>3</v>
      </c>
      <c r="G1" s="63" t="s">
        <v>5</v>
      </c>
      <c r="H1" s="63" t="s">
        <v>6</v>
      </c>
      <c r="I1" s="63" t="s">
        <v>7</v>
      </c>
      <c r="J1" s="63" t="s">
        <v>8</v>
      </c>
      <c r="K1" s="63" t="s">
        <v>9</v>
      </c>
      <c r="L1" s="63" t="s">
        <v>10</v>
      </c>
      <c r="M1" s="63" t="s">
        <v>11</v>
      </c>
      <c r="N1" s="62" t="s">
        <v>17</v>
      </c>
      <c r="O1" s="62" t="s">
        <v>23</v>
      </c>
      <c r="P1" s="62" t="s">
        <v>29</v>
      </c>
      <c r="Q1" s="62" t="s">
        <v>35</v>
      </c>
      <c r="R1" s="62" t="s">
        <v>41</v>
      </c>
      <c r="S1" s="63" t="s">
        <v>12</v>
      </c>
      <c r="T1" s="63" t="s">
        <v>18</v>
      </c>
      <c r="U1" s="63" t="s">
        <v>24</v>
      </c>
      <c r="V1" s="63" t="s">
        <v>30</v>
      </c>
      <c r="W1" s="63" t="s">
        <v>36</v>
      </c>
      <c r="X1" s="63" t="s">
        <v>42</v>
      </c>
      <c r="Y1" s="62" t="s">
        <v>13</v>
      </c>
      <c r="Z1" s="62" t="s">
        <v>19</v>
      </c>
      <c r="AA1" s="62" t="s">
        <v>25</v>
      </c>
      <c r="AB1" s="62" t="s">
        <v>31</v>
      </c>
      <c r="AC1" s="62" t="s">
        <v>37</v>
      </c>
      <c r="AD1" s="62" t="s">
        <v>43</v>
      </c>
      <c r="AE1" s="63" t="s">
        <v>14</v>
      </c>
      <c r="AF1" s="63" t="s">
        <v>20</v>
      </c>
      <c r="AG1" s="63" t="s">
        <v>26</v>
      </c>
      <c r="AH1" s="63" t="s">
        <v>32</v>
      </c>
      <c r="AI1" s="63" t="s">
        <v>38</v>
      </c>
      <c r="AJ1" s="63" t="s">
        <v>44</v>
      </c>
      <c r="AK1" s="62" t="s">
        <v>15</v>
      </c>
      <c r="AL1" s="62" t="s">
        <v>21</v>
      </c>
      <c r="AM1" s="62" t="s">
        <v>27</v>
      </c>
      <c r="AN1" s="62" t="s">
        <v>33</v>
      </c>
      <c r="AO1" s="62" t="s">
        <v>39</v>
      </c>
      <c r="AP1" s="62" t="s">
        <v>45</v>
      </c>
      <c r="AQ1" s="63" t="s">
        <v>16</v>
      </c>
      <c r="AR1" s="63" t="s">
        <v>22</v>
      </c>
      <c r="AS1" s="63" t="s">
        <v>28</v>
      </c>
      <c r="AT1" s="63" t="s">
        <v>34</v>
      </c>
      <c r="AU1" s="63" t="s">
        <v>40</v>
      </c>
      <c r="AV1" s="63" t="s">
        <v>46</v>
      </c>
      <c r="AW1" s="62" t="s">
        <v>74</v>
      </c>
      <c r="AX1" s="62" t="s">
        <v>75</v>
      </c>
      <c r="AY1" s="62" t="s">
        <v>76</v>
      </c>
      <c r="AZ1" s="62" t="s">
        <v>77</v>
      </c>
      <c r="BA1" s="62" t="s">
        <v>78</v>
      </c>
      <c r="BB1" s="62" t="s">
        <v>79</v>
      </c>
      <c r="BC1" s="64" t="s">
        <v>56</v>
      </c>
      <c r="BD1" s="64" t="s">
        <v>57</v>
      </c>
      <c r="BE1" s="63" t="s">
        <v>278</v>
      </c>
    </row>
    <row r="2" spans="1:57" s="65" customFormat="1" x14ac:dyDescent="0.3">
      <c r="A2" s="65" t="str">
        <f>""</f>
        <v/>
      </c>
      <c r="B2" s="65" t="str">
        <f>""</f>
        <v/>
      </c>
      <c r="C2" s="65" t="str">
        <f>""</f>
        <v/>
      </c>
      <c r="D2" s="65" t="str">
        <f>""</f>
        <v/>
      </c>
      <c r="E2" s="65" t="str">
        <f>""</f>
        <v/>
      </c>
      <c r="F2" s="65" t="str">
        <f>""</f>
        <v/>
      </c>
      <c r="G2" s="65" t="str">
        <f>""</f>
        <v/>
      </c>
      <c r="H2" s="65" t="str">
        <f>""</f>
        <v/>
      </c>
      <c r="I2" s="65" t="str">
        <f>""</f>
        <v/>
      </c>
      <c r="J2" s="65" t="str">
        <f>""</f>
        <v/>
      </c>
      <c r="K2" s="65" t="str">
        <f>""</f>
        <v/>
      </c>
      <c r="L2" s="65" t="str">
        <f>""</f>
        <v/>
      </c>
      <c r="M2" s="65" t="str">
        <f>""</f>
        <v/>
      </c>
      <c r="N2" s="65" t="str">
        <f>""</f>
        <v/>
      </c>
      <c r="O2" s="65" t="str">
        <f>""</f>
        <v/>
      </c>
      <c r="P2" s="65" t="str">
        <f>""</f>
        <v/>
      </c>
      <c r="Q2" s="65" t="str">
        <f>""</f>
        <v/>
      </c>
      <c r="R2" s="65" t="str">
        <f>""</f>
        <v/>
      </c>
      <c r="S2" s="65" t="str">
        <f>""</f>
        <v/>
      </c>
      <c r="T2" s="65" t="str">
        <f>""</f>
        <v/>
      </c>
      <c r="U2" s="65" t="str">
        <f>""</f>
        <v/>
      </c>
      <c r="V2" s="65" t="str">
        <f>""</f>
        <v/>
      </c>
      <c r="W2" s="65" t="str">
        <f>""</f>
        <v/>
      </c>
      <c r="X2" s="65" t="str">
        <f>""</f>
        <v/>
      </c>
      <c r="Y2" s="65" t="str">
        <f>""</f>
        <v/>
      </c>
      <c r="Z2" s="65" t="str">
        <f>""</f>
        <v/>
      </c>
      <c r="AA2" s="65" t="str">
        <f>""</f>
        <v/>
      </c>
      <c r="AB2" s="65" t="str">
        <f>""</f>
        <v/>
      </c>
      <c r="AC2" s="65" t="str">
        <f>""</f>
        <v/>
      </c>
      <c r="AD2" s="65" t="str">
        <f>""</f>
        <v/>
      </c>
      <c r="AE2" s="65" t="str">
        <f>""</f>
        <v/>
      </c>
      <c r="AF2" s="65" t="str">
        <f>""</f>
        <v/>
      </c>
      <c r="AG2" s="65" t="str">
        <f>""</f>
        <v/>
      </c>
      <c r="AH2" s="65" t="str">
        <f>""</f>
        <v/>
      </c>
      <c r="AI2" s="65" t="str">
        <f>""</f>
        <v/>
      </c>
      <c r="AJ2" s="65" t="str">
        <f>""</f>
        <v/>
      </c>
      <c r="AK2" s="65" t="str">
        <f>""</f>
        <v/>
      </c>
      <c r="AL2" s="65" t="str">
        <f>""</f>
        <v/>
      </c>
      <c r="AM2" s="65" t="str">
        <f>""</f>
        <v/>
      </c>
      <c r="AN2" s="65" t="str">
        <f>""</f>
        <v/>
      </c>
      <c r="AO2" s="65" t="str">
        <f>""</f>
        <v/>
      </c>
      <c r="AP2" s="65" t="str">
        <f>""</f>
        <v/>
      </c>
      <c r="AQ2" s="65" t="str">
        <f>""</f>
        <v/>
      </c>
      <c r="AR2" s="65" t="str">
        <f>""</f>
        <v/>
      </c>
      <c r="AS2" s="65" t="str">
        <f>""</f>
        <v/>
      </c>
      <c r="AT2" s="65" t="str">
        <f>""</f>
        <v/>
      </c>
      <c r="AU2" s="65" t="str">
        <f>""</f>
        <v/>
      </c>
      <c r="AV2" s="65" t="str">
        <f>""</f>
        <v/>
      </c>
      <c r="AW2" s="65" t="str">
        <f>""</f>
        <v/>
      </c>
      <c r="AX2" s="65" t="str">
        <f>""</f>
        <v/>
      </c>
      <c r="AY2" s="65" t="str">
        <f>""</f>
        <v/>
      </c>
      <c r="AZ2" s="65" t="str">
        <f>""</f>
        <v/>
      </c>
      <c r="BA2" s="65" t="str">
        <f>""</f>
        <v/>
      </c>
      <c r="BB2" s="65" t="str">
        <f>""</f>
        <v/>
      </c>
      <c r="BC2" s="65" t="str">
        <f>""</f>
        <v/>
      </c>
      <c r="BD2" s="65" t="str">
        <f>""</f>
        <v/>
      </c>
      <c r="BE2" s="65" t="str">
        <f>""</f>
        <v/>
      </c>
    </row>
  </sheetData>
  <conditionalFormatting sqref="B1:AJ1">
    <cfRule type="duplicateValues" dxfId="24" priority="5"/>
  </conditionalFormatting>
  <conditionalFormatting sqref="AK1:BB1">
    <cfRule type="duplicateValues" dxfId="23" priority="4"/>
  </conditionalFormatting>
  <conditionalFormatting sqref="AK1:BB1">
    <cfRule type="duplicateValues" dxfId="22" priority="3"/>
  </conditionalFormatting>
  <conditionalFormatting sqref="A1">
    <cfRule type="duplicateValues" dxfId="21" priority="2"/>
  </conditionalFormatting>
  <conditionalFormatting sqref="A1">
    <cfRule type="duplicateValues" dxfId="2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BE2"/>
  <sheetViews>
    <sheetView showGridLines="0" topLeftCell="A40" zoomScale="115" zoomScaleNormal="115" workbookViewId="0">
      <selection activeCell="A3" sqref="A3:XFD1048576"/>
    </sheetView>
  </sheetViews>
  <sheetFormatPr baseColWidth="10" defaultColWidth="9.109375" defaultRowHeight="14.4" x14ac:dyDescent="0.3"/>
  <cols>
    <col min="1" max="1" width="14.33203125" bestFit="1" customWidth="1"/>
    <col min="2" max="2" width="23.44140625" bestFit="1" customWidth="1"/>
    <col min="3" max="3" width="8.6640625" bestFit="1" customWidth="1"/>
    <col min="4" max="4" width="9.6640625" bestFit="1" customWidth="1"/>
    <col min="5" max="5" width="10.109375" bestFit="1" customWidth="1"/>
    <col min="6" max="6" width="10.6640625" bestFit="1" customWidth="1"/>
    <col min="7" max="7" width="11.109375" bestFit="1" customWidth="1"/>
    <col min="8" max="8" width="23.44140625" bestFit="1" customWidth="1"/>
    <col min="9" max="9" width="11.44140625" bestFit="1" customWidth="1"/>
    <col min="10" max="10" width="11.109375" bestFit="1" customWidth="1"/>
    <col min="11" max="11" width="11" bestFit="1" customWidth="1"/>
    <col min="12" max="13" width="11.109375" bestFit="1" customWidth="1"/>
    <col min="14" max="14" width="29.5546875" bestFit="1" customWidth="1"/>
    <col min="15" max="15" width="11.6640625" bestFit="1" customWidth="1"/>
    <col min="16" max="16" width="11.5546875" bestFit="1" customWidth="1"/>
    <col min="17" max="17" width="11.44140625" bestFit="1" customWidth="1"/>
    <col min="18" max="19" width="11.109375" bestFit="1" customWidth="1"/>
    <col min="20" max="20" width="32" bestFit="1" customWidth="1"/>
    <col min="21" max="21" width="11.6640625" bestFit="1" customWidth="1"/>
    <col min="22" max="22" width="11.5546875" bestFit="1" customWidth="1"/>
    <col min="23" max="23" width="11.44140625" bestFit="1" customWidth="1"/>
    <col min="24" max="25" width="11.109375" bestFit="1" customWidth="1"/>
    <col min="26" max="26" width="32" bestFit="1" customWidth="1"/>
    <col min="27" max="27" width="11.6640625" bestFit="1" customWidth="1"/>
    <col min="28" max="28" width="11.5546875" bestFit="1" customWidth="1"/>
    <col min="29" max="29" width="11.44140625" bestFit="1" customWidth="1"/>
    <col min="30" max="31" width="11.109375" bestFit="1" customWidth="1"/>
    <col min="32" max="32" width="12.109375" bestFit="1" customWidth="1"/>
    <col min="33" max="33" width="11.6640625" bestFit="1" customWidth="1"/>
    <col min="34" max="34" width="11.5546875" bestFit="1" customWidth="1"/>
    <col min="35" max="35" width="11.44140625" bestFit="1" customWidth="1"/>
    <col min="36" max="36" width="11.6640625" bestFit="1" customWidth="1"/>
    <col min="37" max="37" width="4.5546875" bestFit="1" customWidth="1"/>
  </cols>
  <sheetData>
    <row r="1" spans="1:57" s="65" customFormat="1" x14ac:dyDescent="0.3">
      <c r="A1" s="61" t="s">
        <v>83</v>
      </c>
      <c r="B1" s="62" t="s">
        <v>55</v>
      </c>
      <c r="C1" s="62" t="s">
        <v>0</v>
      </c>
      <c r="D1" s="62" t="s">
        <v>4</v>
      </c>
      <c r="E1" s="62" t="s">
        <v>2</v>
      </c>
      <c r="F1" s="62" t="s">
        <v>3</v>
      </c>
      <c r="G1" s="63" t="s">
        <v>5</v>
      </c>
      <c r="H1" s="63" t="s">
        <v>6</v>
      </c>
      <c r="I1" s="63" t="s">
        <v>7</v>
      </c>
      <c r="J1" s="63" t="s">
        <v>8</v>
      </c>
      <c r="K1" s="63" t="s">
        <v>9</v>
      </c>
      <c r="L1" s="63" t="s">
        <v>10</v>
      </c>
      <c r="M1" s="63" t="s">
        <v>11</v>
      </c>
      <c r="N1" s="62" t="s">
        <v>17</v>
      </c>
      <c r="O1" s="62" t="s">
        <v>23</v>
      </c>
      <c r="P1" s="62" t="s">
        <v>29</v>
      </c>
      <c r="Q1" s="62" t="s">
        <v>35</v>
      </c>
      <c r="R1" s="62" t="s">
        <v>41</v>
      </c>
      <c r="S1" s="63" t="s">
        <v>12</v>
      </c>
      <c r="T1" s="63" t="s">
        <v>18</v>
      </c>
      <c r="U1" s="63" t="s">
        <v>24</v>
      </c>
      <c r="V1" s="63" t="s">
        <v>30</v>
      </c>
      <c r="W1" s="63" t="s">
        <v>36</v>
      </c>
      <c r="X1" s="63" t="s">
        <v>42</v>
      </c>
      <c r="Y1" s="62" t="s">
        <v>13</v>
      </c>
      <c r="Z1" s="62" t="s">
        <v>19</v>
      </c>
      <c r="AA1" s="62" t="s">
        <v>25</v>
      </c>
      <c r="AB1" s="62" t="s">
        <v>31</v>
      </c>
      <c r="AC1" s="62" t="s">
        <v>37</v>
      </c>
      <c r="AD1" s="62" t="s">
        <v>43</v>
      </c>
      <c r="AE1" s="63" t="s">
        <v>14</v>
      </c>
      <c r="AF1" s="63" t="s">
        <v>20</v>
      </c>
      <c r="AG1" s="63" t="s">
        <v>26</v>
      </c>
      <c r="AH1" s="63" t="s">
        <v>32</v>
      </c>
      <c r="AI1" s="63" t="s">
        <v>38</v>
      </c>
      <c r="AJ1" s="63" t="s">
        <v>44</v>
      </c>
      <c r="AK1" s="62" t="s">
        <v>15</v>
      </c>
      <c r="AL1" s="62" t="s">
        <v>21</v>
      </c>
      <c r="AM1" s="62" t="s">
        <v>27</v>
      </c>
      <c r="AN1" s="62" t="s">
        <v>33</v>
      </c>
      <c r="AO1" s="62" t="s">
        <v>39</v>
      </c>
      <c r="AP1" s="62" t="s">
        <v>45</v>
      </c>
      <c r="AQ1" s="63" t="s">
        <v>16</v>
      </c>
      <c r="AR1" s="63" t="s">
        <v>22</v>
      </c>
      <c r="AS1" s="63" t="s">
        <v>28</v>
      </c>
      <c r="AT1" s="63" t="s">
        <v>34</v>
      </c>
      <c r="AU1" s="63" t="s">
        <v>40</v>
      </c>
      <c r="AV1" s="63" t="s">
        <v>46</v>
      </c>
      <c r="AW1" s="62" t="s">
        <v>74</v>
      </c>
      <c r="AX1" s="62" t="s">
        <v>75</v>
      </c>
      <c r="AY1" s="62" t="s">
        <v>76</v>
      </c>
      <c r="AZ1" s="62" t="s">
        <v>77</v>
      </c>
      <c r="BA1" s="62" t="s">
        <v>78</v>
      </c>
      <c r="BB1" s="62" t="s">
        <v>79</v>
      </c>
      <c r="BC1" s="64" t="s">
        <v>56</v>
      </c>
      <c r="BD1" s="64" t="s">
        <v>57</v>
      </c>
      <c r="BE1" s="63" t="s">
        <v>278</v>
      </c>
    </row>
    <row r="2" spans="1:57" s="65" customFormat="1" ht="12.75" customHeight="1" x14ac:dyDescent="0.3">
      <c r="A2" s="66" t="str">
        <f>""</f>
        <v/>
      </c>
      <c r="B2" s="66" t="str">
        <f>""</f>
        <v/>
      </c>
      <c r="C2" s="66" t="str">
        <f>""</f>
        <v/>
      </c>
      <c r="D2" s="66" t="str">
        <f>""</f>
        <v/>
      </c>
      <c r="E2" s="66" t="str">
        <f>""</f>
        <v/>
      </c>
      <c r="F2" s="66" t="str">
        <f>""</f>
        <v/>
      </c>
      <c r="G2" s="66" t="str">
        <f>""</f>
        <v/>
      </c>
      <c r="H2" s="66" t="str">
        <f>""</f>
        <v/>
      </c>
      <c r="I2" s="66" t="str">
        <f>""</f>
        <v/>
      </c>
      <c r="J2" s="66" t="str">
        <f>""</f>
        <v/>
      </c>
      <c r="K2" s="66" t="str">
        <f>""</f>
        <v/>
      </c>
      <c r="L2" s="66" t="str">
        <f>""</f>
        <v/>
      </c>
      <c r="M2" s="66" t="str">
        <f>""</f>
        <v/>
      </c>
      <c r="N2" s="66" t="str">
        <f>""</f>
        <v/>
      </c>
      <c r="O2" s="66" t="str">
        <f>""</f>
        <v/>
      </c>
      <c r="P2" s="66" t="str">
        <f>""</f>
        <v/>
      </c>
      <c r="Q2" s="66" t="str">
        <f>""</f>
        <v/>
      </c>
      <c r="R2" s="66" t="str">
        <f>""</f>
        <v/>
      </c>
      <c r="S2" s="66" t="str">
        <f>""</f>
        <v/>
      </c>
      <c r="T2" s="66" t="str">
        <f>""</f>
        <v/>
      </c>
      <c r="U2" s="66" t="str">
        <f>""</f>
        <v/>
      </c>
      <c r="V2" s="66" t="str">
        <f>""</f>
        <v/>
      </c>
      <c r="W2" s="66" t="str">
        <f>""</f>
        <v/>
      </c>
      <c r="X2" s="66" t="str">
        <f>""</f>
        <v/>
      </c>
      <c r="Y2" s="66" t="str">
        <f>""</f>
        <v/>
      </c>
      <c r="Z2" s="66" t="str">
        <f>""</f>
        <v/>
      </c>
      <c r="AA2" s="66" t="str">
        <f>""</f>
        <v/>
      </c>
      <c r="AB2" s="66" t="str">
        <f>""</f>
        <v/>
      </c>
      <c r="AC2" s="66" t="str">
        <f>""</f>
        <v/>
      </c>
      <c r="AD2" s="66" t="str">
        <f>""</f>
        <v/>
      </c>
      <c r="AE2" s="66" t="str">
        <f>""</f>
        <v/>
      </c>
      <c r="AF2" s="66" t="str">
        <f>""</f>
        <v/>
      </c>
      <c r="AG2" s="66" t="str">
        <f>""</f>
        <v/>
      </c>
      <c r="AH2" s="66" t="str">
        <f>""</f>
        <v/>
      </c>
      <c r="AI2" s="66" t="str">
        <f>""</f>
        <v/>
      </c>
      <c r="AJ2" s="66" t="str">
        <f>""</f>
        <v/>
      </c>
      <c r="AK2" s="66" t="str">
        <f>""</f>
        <v/>
      </c>
      <c r="AL2" s="66" t="str">
        <f>""</f>
        <v/>
      </c>
      <c r="AM2" s="66" t="str">
        <f>""</f>
        <v/>
      </c>
      <c r="AN2" s="66" t="str">
        <f>""</f>
        <v/>
      </c>
      <c r="AO2" s="66" t="str">
        <f>""</f>
        <v/>
      </c>
      <c r="AP2" s="66" t="str">
        <f>""</f>
        <v/>
      </c>
      <c r="AQ2" s="66" t="str">
        <f>""</f>
        <v/>
      </c>
      <c r="AR2" s="66" t="str">
        <f>""</f>
        <v/>
      </c>
      <c r="AS2" s="66" t="str">
        <f>""</f>
        <v/>
      </c>
      <c r="AT2" s="66" t="str">
        <f>""</f>
        <v/>
      </c>
      <c r="AU2" s="66" t="str">
        <f>""</f>
        <v/>
      </c>
      <c r="AV2" s="66" t="str">
        <f>""</f>
        <v/>
      </c>
      <c r="AW2" s="66" t="str">
        <f>""</f>
        <v/>
      </c>
      <c r="AX2" s="66" t="str">
        <f>""</f>
        <v/>
      </c>
      <c r="AY2" s="66" t="str">
        <f>""</f>
        <v/>
      </c>
      <c r="AZ2" s="66" t="str">
        <f>""</f>
        <v/>
      </c>
      <c r="BA2" s="66" t="str">
        <f>""</f>
        <v/>
      </c>
      <c r="BB2" s="66" t="str">
        <f>""</f>
        <v/>
      </c>
      <c r="BC2" s="66" t="str">
        <f>""</f>
        <v/>
      </c>
      <c r="BD2" s="66" t="str">
        <f>""</f>
        <v/>
      </c>
      <c r="BE2" s="66" t="str">
        <f>""</f>
        <v/>
      </c>
    </row>
  </sheetData>
  <conditionalFormatting sqref="B1:AJ1">
    <cfRule type="duplicateValues" dxfId="19" priority="5"/>
  </conditionalFormatting>
  <conditionalFormatting sqref="AK1:BB1">
    <cfRule type="duplicateValues" dxfId="18" priority="4"/>
  </conditionalFormatting>
  <conditionalFormatting sqref="AK1:BB1">
    <cfRule type="duplicateValues" dxfId="17" priority="3"/>
  </conditionalFormatting>
  <conditionalFormatting sqref="A1">
    <cfRule type="duplicateValues" dxfId="16" priority="2"/>
  </conditionalFormatting>
  <conditionalFormatting sqref="A1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BE2"/>
  <sheetViews>
    <sheetView showGridLines="0" zoomScale="130" zoomScaleNormal="130" workbookViewId="0">
      <selection activeCell="A3" sqref="A3:XFD1048576"/>
    </sheetView>
  </sheetViews>
  <sheetFormatPr baseColWidth="10" defaultColWidth="9.109375" defaultRowHeight="14.4" x14ac:dyDescent="0.3"/>
  <cols>
    <col min="1" max="1" width="14.33203125" bestFit="1" customWidth="1"/>
    <col min="2" max="2" width="23.44140625" bestFit="1" customWidth="1"/>
    <col min="3" max="3" width="8.6640625" bestFit="1" customWidth="1"/>
    <col min="4" max="4" width="9.6640625" bestFit="1" customWidth="1"/>
    <col min="5" max="5" width="10.109375" bestFit="1" customWidth="1"/>
    <col min="6" max="6" width="10.6640625" bestFit="1" customWidth="1"/>
    <col min="7" max="7" width="12.33203125" bestFit="1" customWidth="1"/>
    <col min="8" max="8" width="23.44140625" bestFit="1" customWidth="1"/>
    <col min="9" max="9" width="11.44140625" bestFit="1" customWidth="1"/>
    <col min="10" max="10" width="11.109375" bestFit="1" customWidth="1"/>
    <col min="11" max="11" width="11" bestFit="1" customWidth="1"/>
    <col min="12" max="13" width="11.109375" bestFit="1" customWidth="1"/>
    <col min="14" max="14" width="29.5546875" bestFit="1" customWidth="1"/>
    <col min="15" max="15" width="11.6640625" bestFit="1" customWidth="1"/>
    <col min="16" max="16" width="11.5546875" bestFit="1" customWidth="1"/>
    <col min="17" max="17" width="11.44140625" bestFit="1" customWidth="1"/>
    <col min="18" max="19" width="11.109375" bestFit="1" customWidth="1"/>
    <col min="20" max="20" width="32" bestFit="1" customWidth="1"/>
    <col min="21" max="21" width="11.6640625" bestFit="1" customWidth="1"/>
    <col min="22" max="22" width="11.5546875" bestFit="1" customWidth="1"/>
    <col min="23" max="23" width="11.44140625" bestFit="1" customWidth="1"/>
    <col min="24" max="25" width="11.109375" bestFit="1" customWidth="1"/>
    <col min="26" max="26" width="32" bestFit="1" customWidth="1"/>
    <col min="27" max="27" width="11.6640625" bestFit="1" customWidth="1"/>
    <col min="28" max="28" width="11.5546875" bestFit="1" customWidth="1"/>
    <col min="29" max="29" width="11.44140625" bestFit="1" customWidth="1"/>
    <col min="30" max="31" width="11.109375" bestFit="1" customWidth="1"/>
    <col min="32" max="32" width="12.109375" bestFit="1" customWidth="1"/>
    <col min="33" max="33" width="11.6640625" bestFit="1" customWidth="1"/>
    <col min="34" max="34" width="11.5546875" bestFit="1" customWidth="1"/>
    <col min="35" max="35" width="11.44140625" bestFit="1" customWidth="1"/>
    <col min="36" max="36" width="11.6640625" bestFit="1" customWidth="1"/>
    <col min="37" max="37" width="4.5546875" bestFit="1" customWidth="1"/>
  </cols>
  <sheetData>
    <row r="1" spans="1:57" s="65" customFormat="1" x14ac:dyDescent="0.3">
      <c r="A1" s="61" t="s">
        <v>83</v>
      </c>
      <c r="B1" s="62" t="s">
        <v>55</v>
      </c>
      <c r="C1" s="62" t="s">
        <v>0</v>
      </c>
      <c r="D1" s="62" t="s">
        <v>4</v>
      </c>
      <c r="E1" s="62" t="s">
        <v>2</v>
      </c>
      <c r="F1" s="62" t="s">
        <v>3</v>
      </c>
      <c r="G1" s="63" t="s">
        <v>5</v>
      </c>
      <c r="H1" s="63" t="s">
        <v>6</v>
      </c>
      <c r="I1" s="63" t="s">
        <v>7</v>
      </c>
      <c r="J1" s="63" t="s">
        <v>8</v>
      </c>
      <c r="K1" s="63" t="s">
        <v>9</v>
      </c>
      <c r="L1" s="63" t="s">
        <v>10</v>
      </c>
      <c r="M1" s="63" t="s">
        <v>11</v>
      </c>
      <c r="N1" s="62" t="s">
        <v>17</v>
      </c>
      <c r="O1" s="62" t="s">
        <v>23</v>
      </c>
      <c r="P1" s="62" t="s">
        <v>29</v>
      </c>
      <c r="Q1" s="62" t="s">
        <v>35</v>
      </c>
      <c r="R1" s="62" t="s">
        <v>41</v>
      </c>
      <c r="S1" s="63" t="s">
        <v>12</v>
      </c>
      <c r="T1" s="63" t="s">
        <v>18</v>
      </c>
      <c r="U1" s="63" t="s">
        <v>24</v>
      </c>
      <c r="V1" s="63" t="s">
        <v>30</v>
      </c>
      <c r="W1" s="63" t="s">
        <v>36</v>
      </c>
      <c r="X1" s="63" t="s">
        <v>42</v>
      </c>
      <c r="Y1" s="62" t="s">
        <v>13</v>
      </c>
      <c r="Z1" s="62" t="s">
        <v>19</v>
      </c>
      <c r="AA1" s="62" t="s">
        <v>25</v>
      </c>
      <c r="AB1" s="62" t="s">
        <v>31</v>
      </c>
      <c r="AC1" s="62" t="s">
        <v>37</v>
      </c>
      <c r="AD1" s="62" t="s">
        <v>43</v>
      </c>
      <c r="AE1" s="63" t="s">
        <v>14</v>
      </c>
      <c r="AF1" s="63" t="s">
        <v>20</v>
      </c>
      <c r="AG1" s="63" t="s">
        <v>26</v>
      </c>
      <c r="AH1" s="63" t="s">
        <v>32</v>
      </c>
      <c r="AI1" s="63" t="s">
        <v>38</v>
      </c>
      <c r="AJ1" s="63" t="s">
        <v>44</v>
      </c>
      <c r="AK1" s="62" t="s">
        <v>15</v>
      </c>
      <c r="AL1" s="62" t="s">
        <v>21</v>
      </c>
      <c r="AM1" s="62" t="s">
        <v>27</v>
      </c>
      <c r="AN1" s="62" t="s">
        <v>33</v>
      </c>
      <c r="AO1" s="62" t="s">
        <v>39</v>
      </c>
      <c r="AP1" s="62" t="s">
        <v>45</v>
      </c>
      <c r="AQ1" s="63" t="s">
        <v>16</v>
      </c>
      <c r="AR1" s="63" t="s">
        <v>22</v>
      </c>
      <c r="AS1" s="63" t="s">
        <v>28</v>
      </c>
      <c r="AT1" s="63" t="s">
        <v>34</v>
      </c>
      <c r="AU1" s="63" t="s">
        <v>40</v>
      </c>
      <c r="AV1" s="63" t="s">
        <v>46</v>
      </c>
      <c r="AW1" s="62" t="s">
        <v>74</v>
      </c>
      <c r="AX1" s="62" t="s">
        <v>75</v>
      </c>
      <c r="AY1" s="62" t="s">
        <v>76</v>
      </c>
      <c r="AZ1" s="62" t="s">
        <v>77</v>
      </c>
      <c r="BA1" s="62" t="s">
        <v>78</v>
      </c>
      <c r="BB1" s="62" t="s">
        <v>79</v>
      </c>
      <c r="BC1" s="64" t="s">
        <v>56</v>
      </c>
      <c r="BD1" s="64" t="s">
        <v>57</v>
      </c>
      <c r="BE1" s="63" t="s">
        <v>278</v>
      </c>
    </row>
    <row r="2" spans="1:57" s="65" customFormat="1" ht="12.75" customHeight="1" x14ac:dyDescent="0.3">
      <c r="A2" s="66" t="str">
        <f>""</f>
        <v/>
      </c>
      <c r="B2" s="66" t="str">
        <f>""</f>
        <v/>
      </c>
      <c r="C2" s="66" t="str">
        <f>""</f>
        <v/>
      </c>
      <c r="D2" s="66" t="str">
        <f>""</f>
        <v/>
      </c>
      <c r="E2" s="66" t="str">
        <f>""</f>
        <v/>
      </c>
      <c r="F2" s="66" t="str">
        <f>""</f>
        <v/>
      </c>
      <c r="G2" s="66" t="str">
        <f>""</f>
        <v/>
      </c>
      <c r="H2" s="66" t="str">
        <f>""</f>
        <v/>
      </c>
      <c r="I2" s="66" t="str">
        <f>""</f>
        <v/>
      </c>
      <c r="J2" s="66" t="str">
        <f>""</f>
        <v/>
      </c>
      <c r="K2" s="66" t="str">
        <f>""</f>
        <v/>
      </c>
      <c r="L2" s="66" t="str">
        <f>""</f>
        <v/>
      </c>
      <c r="M2" s="66" t="str">
        <f>""</f>
        <v/>
      </c>
      <c r="N2" s="66" t="str">
        <f>""</f>
        <v/>
      </c>
      <c r="O2" s="66" t="str">
        <f>""</f>
        <v/>
      </c>
      <c r="P2" s="66" t="str">
        <f>""</f>
        <v/>
      </c>
      <c r="Q2" s="66" t="str">
        <f>""</f>
        <v/>
      </c>
      <c r="R2" s="66" t="str">
        <f>""</f>
        <v/>
      </c>
      <c r="S2" s="66" t="str">
        <f>""</f>
        <v/>
      </c>
      <c r="T2" s="66" t="str">
        <f>""</f>
        <v/>
      </c>
      <c r="U2" s="66" t="str">
        <f>""</f>
        <v/>
      </c>
      <c r="V2" s="66" t="str">
        <f>""</f>
        <v/>
      </c>
      <c r="W2" s="66" t="str">
        <f>""</f>
        <v/>
      </c>
      <c r="X2" s="66" t="str">
        <f>""</f>
        <v/>
      </c>
      <c r="Y2" s="66" t="str">
        <f>""</f>
        <v/>
      </c>
      <c r="Z2" s="66" t="str">
        <f>""</f>
        <v/>
      </c>
      <c r="AA2" s="66" t="str">
        <f>""</f>
        <v/>
      </c>
      <c r="AB2" s="66" t="str">
        <f>""</f>
        <v/>
      </c>
      <c r="AC2" s="66" t="str">
        <f>""</f>
        <v/>
      </c>
      <c r="AD2" s="66" t="str">
        <f>""</f>
        <v/>
      </c>
      <c r="AE2" s="66" t="str">
        <f>""</f>
        <v/>
      </c>
      <c r="AF2" s="66" t="str">
        <f>""</f>
        <v/>
      </c>
      <c r="AG2" s="66" t="str">
        <f>""</f>
        <v/>
      </c>
      <c r="AH2" s="66" t="str">
        <f>""</f>
        <v/>
      </c>
      <c r="AI2" s="66" t="str">
        <f>""</f>
        <v/>
      </c>
      <c r="AJ2" s="66" t="str">
        <f>""</f>
        <v/>
      </c>
      <c r="AK2" s="66" t="str">
        <f>""</f>
        <v/>
      </c>
      <c r="AL2" s="66" t="str">
        <f>""</f>
        <v/>
      </c>
      <c r="AM2" s="66" t="str">
        <f>""</f>
        <v/>
      </c>
      <c r="AN2" s="66" t="str">
        <f>""</f>
        <v/>
      </c>
      <c r="AO2" s="66" t="str">
        <f>""</f>
        <v/>
      </c>
      <c r="AP2" s="66" t="str">
        <f>""</f>
        <v/>
      </c>
      <c r="AQ2" s="66" t="str">
        <f>""</f>
        <v/>
      </c>
      <c r="AR2" s="66" t="str">
        <f>""</f>
        <v/>
      </c>
      <c r="AS2" s="66" t="str">
        <f>""</f>
        <v/>
      </c>
      <c r="AT2" s="66" t="str">
        <f>""</f>
        <v/>
      </c>
      <c r="AU2" s="66" t="str">
        <f>""</f>
        <v/>
      </c>
      <c r="AV2" s="66" t="str">
        <f>""</f>
        <v/>
      </c>
      <c r="AW2" s="66" t="str">
        <f>""</f>
        <v/>
      </c>
      <c r="AX2" s="66" t="str">
        <f>""</f>
        <v/>
      </c>
      <c r="AY2" s="66" t="str">
        <f>""</f>
        <v/>
      </c>
      <c r="AZ2" s="66" t="str">
        <f>""</f>
        <v/>
      </c>
      <c r="BA2" s="66" t="str">
        <f>""</f>
        <v/>
      </c>
      <c r="BB2" s="66" t="str">
        <f>""</f>
        <v/>
      </c>
      <c r="BC2" s="66" t="str">
        <f>""</f>
        <v/>
      </c>
      <c r="BD2" s="66" t="str">
        <f>""</f>
        <v/>
      </c>
      <c r="BE2" s="66" t="str">
        <f>""</f>
        <v/>
      </c>
    </row>
  </sheetData>
  <conditionalFormatting sqref="B1:AJ1">
    <cfRule type="duplicateValues" dxfId="14" priority="5"/>
  </conditionalFormatting>
  <conditionalFormatting sqref="AK1:BB1">
    <cfRule type="duplicateValues" dxfId="13" priority="4"/>
  </conditionalFormatting>
  <conditionalFormatting sqref="AK1:BB1">
    <cfRule type="duplicateValues" dxfId="12" priority="3"/>
  </conditionalFormatting>
  <conditionalFormatting sqref="A1">
    <cfRule type="duplicateValues" dxfId="11" priority="2"/>
  </conditionalFormatting>
  <conditionalFormatting sqref="A1">
    <cfRule type="duplicateValues" dxfId="10" priority="1"/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BK2"/>
  <sheetViews>
    <sheetView showGridLines="0" zoomScale="115" zoomScaleNormal="115" workbookViewId="0">
      <selection activeCell="A3" sqref="A3:XFD1048576"/>
    </sheetView>
  </sheetViews>
  <sheetFormatPr baseColWidth="10" defaultColWidth="9.109375" defaultRowHeight="14.4" x14ac:dyDescent="0.3"/>
  <cols>
    <col min="2" max="2" width="14.33203125" bestFit="1" customWidth="1"/>
    <col min="3" max="3" width="23.44140625" bestFit="1" customWidth="1"/>
    <col min="4" max="4" width="8.6640625" bestFit="1" customWidth="1"/>
    <col min="5" max="5" width="9.6640625" bestFit="1" customWidth="1"/>
    <col min="6" max="6" width="10.109375" bestFit="1" customWidth="1"/>
    <col min="7" max="7" width="8.88671875" bestFit="1" customWidth="1"/>
    <col min="8" max="8" width="12.33203125" bestFit="1" customWidth="1"/>
    <col min="9" max="9" width="23.44140625" bestFit="1" customWidth="1"/>
    <col min="10" max="10" width="11.44140625" bestFit="1" customWidth="1"/>
    <col min="11" max="11" width="11.109375" bestFit="1" customWidth="1"/>
    <col min="12" max="12" width="11" bestFit="1" customWidth="1"/>
    <col min="13" max="14" width="11.109375" bestFit="1" customWidth="1"/>
    <col min="15" max="15" width="29.5546875" bestFit="1" customWidth="1"/>
    <col min="16" max="16" width="11.6640625" bestFit="1" customWidth="1"/>
    <col min="17" max="17" width="11.5546875" bestFit="1" customWidth="1"/>
    <col min="18" max="18" width="11.44140625" bestFit="1" customWidth="1"/>
    <col min="19" max="19" width="11.109375" bestFit="1" customWidth="1"/>
    <col min="20" max="20" width="12.33203125" bestFit="1" customWidth="1"/>
    <col min="21" max="21" width="32" bestFit="1" customWidth="1"/>
    <col min="22" max="22" width="11.6640625" bestFit="1" customWidth="1"/>
    <col min="23" max="23" width="11.5546875" bestFit="1" customWidth="1"/>
    <col min="24" max="24" width="11.44140625" bestFit="1" customWidth="1"/>
    <col min="25" max="26" width="11.109375" bestFit="1" customWidth="1"/>
    <col min="27" max="27" width="32" bestFit="1" customWidth="1"/>
    <col min="28" max="28" width="11.6640625" bestFit="1" customWidth="1"/>
    <col min="29" max="29" width="11.5546875" bestFit="1" customWidth="1"/>
    <col min="30" max="30" width="11.44140625" bestFit="1" customWidth="1"/>
    <col min="31" max="32" width="11.109375" bestFit="1" customWidth="1"/>
    <col min="33" max="33" width="12.109375" bestFit="1" customWidth="1"/>
    <col min="34" max="34" width="11.6640625" bestFit="1" customWidth="1"/>
    <col min="35" max="35" width="11.5546875" bestFit="1" customWidth="1"/>
    <col min="36" max="36" width="11.44140625" bestFit="1" customWidth="1"/>
    <col min="37" max="38" width="11.109375" bestFit="1" customWidth="1"/>
    <col min="39" max="39" width="32" bestFit="1" customWidth="1"/>
    <col min="40" max="40" width="11.6640625" bestFit="1" customWidth="1"/>
    <col min="41" max="41" width="11.5546875" bestFit="1" customWidth="1"/>
    <col min="42" max="42" width="11.44140625" bestFit="1" customWidth="1"/>
    <col min="43" max="44" width="11.109375" bestFit="1" customWidth="1"/>
    <col min="45" max="45" width="12.109375" bestFit="1" customWidth="1"/>
    <col min="46" max="46" width="11.6640625" bestFit="1" customWidth="1"/>
    <col min="47" max="47" width="11.5546875" bestFit="1" customWidth="1"/>
    <col min="48" max="48" width="11.44140625" bestFit="1" customWidth="1"/>
    <col min="49" max="49" width="11.6640625" bestFit="1" customWidth="1"/>
    <col min="50" max="50" width="4.5546875" bestFit="1" customWidth="1"/>
  </cols>
  <sheetData>
    <row r="1" spans="1:63" s="65" customFormat="1" x14ac:dyDescent="0.3">
      <c r="A1" s="61" t="s">
        <v>83</v>
      </c>
      <c r="B1" s="62" t="s">
        <v>55</v>
      </c>
      <c r="C1" s="62" t="s">
        <v>0</v>
      </c>
      <c r="D1" s="62" t="s">
        <v>4</v>
      </c>
      <c r="E1" s="62" t="s">
        <v>2</v>
      </c>
      <c r="F1" s="62" t="s">
        <v>3</v>
      </c>
      <c r="G1" s="63" t="s">
        <v>5</v>
      </c>
      <c r="H1" s="63" t="s">
        <v>6</v>
      </c>
      <c r="I1" s="63" t="s">
        <v>7</v>
      </c>
      <c r="J1" s="63" t="s">
        <v>8</v>
      </c>
      <c r="K1" s="63" t="s">
        <v>9</v>
      </c>
      <c r="L1" s="63" t="s">
        <v>10</v>
      </c>
      <c r="M1" s="63" t="s">
        <v>11</v>
      </c>
      <c r="N1" s="62" t="s">
        <v>17</v>
      </c>
      <c r="O1" s="62" t="s">
        <v>23</v>
      </c>
      <c r="P1" s="62" t="s">
        <v>29</v>
      </c>
      <c r="Q1" s="62" t="s">
        <v>35</v>
      </c>
      <c r="R1" s="62" t="s">
        <v>41</v>
      </c>
      <c r="S1" s="63" t="s">
        <v>12</v>
      </c>
      <c r="T1" s="63" t="s">
        <v>18</v>
      </c>
      <c r="U1" s="63" t="s">
        <v>24</v>
      </c>
      <c r="V1" s="63" t="s">
        <v>30</v>
      </c>
      <c r="W1" s="63" t="s">
        <v>36</v>
      </c>
      <c r="X1" s="63" t="s">
        <v>42</v>
      </c>
      <c r="Y1" s="62" t="s">
        <v>13</v>
      </c>
      <c r="Z1" s="62" t="s">
        <v>19</v>
      </c>
      <c r="AA1" s="62" t="s">
        <v>25</v>
      </c>
      <c r="AB1" s="62" t="s">
        <v>31</v>
      </c>
      <c r="AC1" s="62" t="s">
        <v>37</v>
      </c>
      <c r="AD1" s="62" t="s">
        <v>43</v>
      </c>
      <c r="AE1" s="63" t="s">
        <v>14</v>
      </c>
      <c r="AF1" s="63" t="s">
        <v>20</v>
      </c>
      <c r="AG1" s="63" t="s">
        <v>26</v>
      </c>
      <c r="AH1" s="63" t="s">
        <v>32</v>
      </c>
      <c r="AI1" s="63" t="s">
        <v>38</v>
      </c>
      <c r="AJ1" s="63" t="s">
        <v>44</v>
      </c>
      <c r="AK1" s="62" t="s">
        <v>15</v>
      </c>
      <c r="AL1" s="62" t="s">
        <v>21</v>
      </c>
      <c r="AM1" s="62" t="s">
        <v>27</v>
      </c>
      <c r="AN1" s="62" t="s">
        <v>33</v>
      </c>
      <c r="AO1" s="62" t="s">
        <v>39</v>
      </c>
      <c r="AP1" s="62" t="s">
        <v>45</v>
      </c>
      <c r="AQ1" s="63" t="s">
        <v>16</v>
      </c>
      <c r="AR1" s="63" t="s">
        <v>22</v>
      </c>
      <c r="AS1" s="63" t="s">
        <v>28</v>
      </c>
      <c r="AT1" s="63" t="s">
        <v>34</v>
      </c>
      <c r="AU1" s="63" t="s">
        <v>40</v>
      </c>
      <c r="AV1" s="63" t="s">
        <v>46</v>
      </c>
      <c r="AW1" s="62" t="s">
        <v>74</v>
      </c>
      <c r="AX1" s="62" t="s">
        <v>75</v>
      </c>
      <c r="AY1" s="62" t="s">
        <v>76</v>
      </c>
      <c r="AZ1" s="62" t="s">
        <v>77</v>
      </c>
      <c r="BA1" s="62" t="s">
        <v>78</v>
      </c>
      <c r="BB1" s="62" t="s">
        <v>79</v>
      </c>
      <c r="BC1" s="64" t="s">
        <v>56</v>
      </c>
      <c r="BD1" s="64" t="s">
        <v>57</v>
      </c>
      <c r="BE1" s="63" t="s">
        <v>278</v>
      </c>
    </row>
    <row r="2" spans="1:63" s="65" customFormat="1" ht="12.75" customHeight="1" x14ac:dyDescent="0.3">
      <c r="A2" s="66" t="str">
        <f>""</f>
        <v/>
      </c>
      <c r="B2" s="66" t="str">
        <f>""</f>
        <v/>
      </c>
      <c r="C2" s="66" t="str">
        <f>""</f>
        <v/>
      </c>
      <c r="D2" s="66" t="str">
        <f>""</f>
        <v/>
      </c>
      <c r="E2" s="66" t="str">
        <f>""</f>
        <v/>
      </c>
      <c r="F2" s="66" t="str">
        <f>""</f>
        <v/>
      </c>
      <c r="G2" s="66" t="str">
        <f>""</f>
        <v/>
      </c>
      <c r="H2" s="66" t="str">
        <f>""</f>
        <v/>
      </c>
      <c r="I2" s="66" t="str">
        <f>""</f>
        <v/>
      </c>
      <c r="J2" s="66" t="str">
        <f>""</f>
        <v/>
      </c>
      <c r="K2" s="66" t="str">
        <f>""</f>
        <v/>
      </c>
      <c r="L2" s="66" t="str">
        <f>""</f>
        <v/>
      </c>
      <c r="M2" s="66" t="str">
        <f>""</f>
        <v/>
      </c>
      <c r="N2" s="66" t="str">
        <f>""</f>
        <v/>
      </c>
      <c r="O2" s="66" t="str">
        <f>""</f>
        <v/>
      </c>
      <c r="P2" s="66" t="str">
        <f>""</f>
        <v/>
      </c>
      <c r="Q2" s="66" t="str">
        <f>""</f>
        <v/>
      </c>
      <c r="R2" s="66" t="str">
        <f>""</f>
        <v/>
      </c>
      <c r="S2" s="66" t="str">
        <f>""</f>
        <v/>
      </c>
      <c r="T2" s="66" t="str">
        <f>""</f>
        <v/>
      </c>
      <c r="U2" s="66" t="str">
        <f>""</f>
        <v/>
      </c>
      <c r="V2" s="66" t="str">
        <f>""</f>
        <v/>
      </c>
      <c r="W2" s="66" t="str">
        <f>""</f>
        <v/>
      </c>
      <c r="X2" s="66" t="str">
        <f>""</f>
        <v/>
      </c>
      <c r="Y2" s="66" t="str">
        <f>""</f>
        <v/>
      </c>
      <c r="Z2" s="66" t="str">
        <f>""</f>
        <v/>
      </c>
      <c r="AA2" s="66" t="str">
        <f>""</f>
        <v/>
      </c>
      <c r="AB2" s="66" t="str">
        <f>""</f>
        <v/>
      </c>
      <c r="AC2" s="66" t="str">
        <f>""</f>
        <v/>
      </c>
      <c r="AD2" s="66" t="str">
        <f>""</f>
        <v/>
      </c>
      <c r="AE2" s="66" t="str">
        <f>""</f>
        <v/>
      </c>
      <c r="AF2" s="66" t="str">
        <f>""</f>
        <v/>
      </c>
      <c r="AG2" s="66" t="str">
        <f>""</f>
        <v/>
      </c>
      <c r="AH2" s="66" t="str">
        <f>""</f>
        <v/>
      </c>
      <c r="AI2" s="66" t="str">
        <f>""</f>
        <v/>
      </c>
      <c r="AJ2" s="66" t="str">
        <f>""</f>
        <v/>
      </c>
      <c r="AK2" s="66" t="str">
        <f>""</f>
        <v/>
      </c>
      <c r="AL2" s="66" t="str">
        <f>""</f>
        <v/>
      </c>
      <c r="AM2" s="66" t="str">
        <f>""</f>
        <v/>
      </c>
      <c r="AN2" s="66" t="str">
        <f>""</f>
        <v/>
      </c>
      <c r="AO2" s="66" t="str">
        <f>""</f>
        <v/>
      </c>
      <c r="AP2" s="66" t="str">
        <f>""</f>
        <v/>
      </c>
      <c r="AQ2" s="66" t="str">
        <f>""</f>
        <v/>
      </c>
      <c r="AR2" s="66" t="str">
        <f>""</f>
        <v/>
      </c>
      <c r="AS2" s="66" t="str">
        <f>""</f>
        <v/>
      </c>
      <c r="AT2" s="66" t="str">
        <f>""</f>
        <v/>
      </c>
      <c r="AU2" s="66" t="str">
        <f>""</f>
        <v/>
      </c>
      <c r="AV2" s="66" t="str">
        <f>""</f>
        <v/>
      </c>
      <c r="AW2" s="66" t="str">
        <f>""</f>
        <v/>
      </c>
      <c r="AX2" s="66" t="str">
        <f>""</f>
        <v/>
      </c>
      <c r="AY2" s="66" t="str">
        <f>""</f>
        <v/>
      </c>
      <c r="AZ2" s="66" t="str">
        <f>""</f>
        <v/>
      </c>
      <c r="BA2" s="66" t="str">
        <f>""</f>
        <v/>
      </c>
      <c r="BB2" s="66" t="str">
        <f>""</f>
        <v/>
      </c>
      <c r="BC2" s="66" t="str">
        <f>""</f>
        <v/>
      </c>
      <c r="BD2" s="66" t="str">
        <f>""</f>
        <v/>
      </c>
      <c r="BE2" s="66" t="str">
        <f>""</f>
        <v/>
      </c>
      <c r="BF2" s="67" t="s">
        <v>115</v>
      </c>
      <c r="BG2" s="67" t="s">
        <v>115</v>
      </c>
      <c r="BH2" s="67" t="s">
        <v>115</v>
      </c>
      <c r="BI2" s="67" t="s">
        <v>115</v>
      </c>
      <c r="BJ2" s="67" t="s">
        <v>115</v>
      </c>
      <c r="BK2" s="68"/>
    </row>
  </sheetData>
  <conditionalFormatting sqref="B1:AJ1">
    <cfRule type="duplicateValues" dxfId="9" priority="5"/>
  </conditionalFormatting>
  <conditionalFormatting sqref="AK1:BB1">
    <cfRule type="duplicateValues" dxfId="8" priority="4"/>
  </conditionalFormatting>
  <conditionalFormatting sqref="AK1:BB1">
    <cfRule type="duplicateValues" dxfId="7" priority="3"/>
  </conditionalFormatting>
  <conditionalFormatting sqref="A1">
    <cfRule type="duplicateValues" dxfId="6" priority="2"/>
  </conditionalFormatting>
  <conditionalFormatting sqref="A1">
    <cfRule type="duplicateValues" dxfId="5" priority="1"/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/>
  <dimension ref="A1:BE2"/>
  <sheetViews>
    <sheetView showGridLines="0" topLeftCell="A117" zoomScaleNormal="100" workbookViewId="0">
      <selection activeCell="Q117" sqref="Q117"/>
    </sheetView>
  </sheetViews>
  <sheetFormatPr baseColWidth="10" defaultColWidth="9.109375" defaultRowHeight="14.4" x14ac:dyDescent="0.3"/>
  <cols>
    <col min="2" max="2" width="6.88671875" bestFit="1" customWidth="1"/>
    <col min="3" max="3" width="10.6640625" bestFit="1" customWidth="1"/>
    <col min="4" max="4" width="6" bestFit="1" customWidth="1"/>
    <col min="5" max="6" width="7.33203125" bestFit="1" customWidth="1"/>
    <col min="7" max="7" width="8.44140625" bestFit="1" customWidth="1"/>
    <col min="8" max="8" width="8.6640625" bestFit="1" customWidth="1"/>
    <col min="9" max="9" width="9.44140625" bestFit="1" customWidth="1"/>
    <col min="10" max="11" width="9.33203125" bestFit="1" customWidth="1"/>
    <col min="13" max="13" width="8.44140625" bestFit="1" customWidth="1"/>
    <col min="14" max="14" width="8.6640625" bestFit="1" customWidth="1"/>
    <col min="15" max="15" width="9.44140625" bestFit="1" customWidth="1"/>
    <col min="16" max="17" width="9.33203125" bestFit="1" customWidth="1"/>
    <col min="19" max="19" width="8.44140625" bestFit="1" customWidth="1"/>
    <col min="20" max="20" width="8.6640625" bestFit="1" customWidth="1"/>
    <col min="21" max="21" width="9.44140625" bestFit="1" customWidth="1"/>
    <col min="22" max="23" width="9.33203125" bestFit="1" customWidth="1"/>
    <col min="25" max="25" width="8.44140625" bestFit="1" customWidth="1"/>
    <col min="26" max="26" width="8.6640625" bestFit="1" customWidth="1"/>
    <col min="27" max="27" width="9.44140625" bestFit="1" customWidth="1"/>
    <col min="28" max="29" width="9.33203125" bestFit="1" customWidth="1"/>
    <col min="31" max="31" width="8.44140625" bestFit="1" customWidth="1"/>
    <col min="32" max="32" width="8.6640625" bestFit="1" customWidth="1"/>
    <col min="33" max="33" width="9.44140625" bestFit="1" customWidth="1"/>
    <col min="34" max="35" width="9.33203125" bestFit="1" customWidth="1"/>
    <col min="37" max="37" width="8.44140625" bestFit="1" customWidth="1"/>
    <col min="38" max="38" width="8.6640625" bestFit="1" customWidth="1"/>
    <col min="39" max="39" width="9.44140625" bestFit="1" customWidth="1"/>
    <col min="40" max="41" width="9.33203125" bestFit="1" customWidth="1"/>
    <col min="43" max="43" width="8.44140625" bestFit="1" customWidth="1"/>
    <col min="44" max="44" width="8.6640625" bestFit="1" customWidth="1"/>
    <col min="45" max="45" width="9.44140625" bestFit="1" customWidth="1"/>
    <col min="46" max="47" width="9.33203125" bestFit="1" customWidth="1"/>
    <col min="49" max="49" width="8.44140625" bestFit="1" customWidth="1"/>
    <col min="50" max="50" width="8.6640625" bestFit="1" customWidth="1"/>
    <col min="51" max="51" width="9.44140625" bestFit="1" customWidth="1"/>
    <col min="52" max="53" width="9.33203125" bestFit="1" customWidth="1"/>
    <col min="55" max="55" width="10.6640625" bestFit="1" customWidth="1"/>
    <col min="56" max="56" width="4.109375" bestFit="1" customWidth="1"/>
  </cols>
  <sheetData>
    <row r="1" spans="1:57" s="65" customFormat="1" x14ac:dyDescent="0.3">
      <c r="A1" s="61" t="s">
        <v>83</v>
      </c>
      <c r="B1" s="62" t="s">
        <v>55</v>
      </c>
      <c r="C1" s="62" t="s">
        <v>0</v>
      </c>
      <c r="D1" s="62" t="s">
        <v>4</v>
      </c>
      <c r="E1" s="62" t="s">
        <v>2</v>
      </c>
      <c r="F1" s="62" t="s">
        <v>3</v>
      </c>
      <c r="G1" s="63" t="s">
        <v>5</v>
      </c>
      <c r="H1" s="63" t="s">
        <v>6</v>
      </c>
      <c r="I1" s="63" t="s">
        <v>7</v>
      </c>
      <c r="J1" s="63" t="s">
        <v>8</v>
      </c>
      <c r="K1" s="63" t="s">
        <v>9</v>
      </c>
      <c r="L1" s="63" t="s">
        <v>10</v>
      </c>
      <c r="M1" s="63" t="s">
        <v>11</v>
      </c>
      <c r="N1" s="62" t="s">
        <v>17</v>
      </c>
      <c r="O1" s="62" t="s">
        <v>23</v>
      </c>
      <c r="P1" s="62" t="s">
        <v>29</v>
      </c>
      <c r="Q1" s="62" t="s">
        <v>35</v>
      </c>
      <c r="R1" s="62" t="s">
        <v>41</v>
      </c>
      <c r="S1" s="63" t="s">
        <v>12</v>
      </c>
      <c r="T1" s="63" t="s">
        <v>18</v>
      </c>
      <c r="U1" s="63" t="s">
        <v>24</v>
      </c>
      <c r="V1" s="63" t="s">
        <v>30</v>
      </c>
      <c r="W1" s="63" t="s">
        <v>36</v>
      </c>
      <c r="X1" s="63" t="s">
        <v>42</v>
      </c>
      <c r="Y1" s="62" t="s">
        <v>13</v>
      </c>
      <c r="Z1" s="62" t="s">
        <v>19</v>
      </c>
      <c r="AA1" s="62" t="s">
        <v>25</v>
      </c>
      <c r="AB1" s="62" t="s">
        <v>31</v>
      </c>
      <c r="AC1" s="62" t="s">
        <v>37</v>
      </c>
      <c r="AD1" s="62" t="s">
        <v>43</v>
      </c>
      <c r="AE1" s="63" t="s">
        <v>14</v>
      </c>
      <c r="AF1" s="63" t="s">
        <v>20</v>
      </c>
      <c r="AG1" s="63" t="s">
        <v>26</v>
      </c>
      <c r="AH1" s="63" t="s">
        <v>32</v>
      </c>
      <c r="AI1" s="63" t="s">
        <v>38</v>
      </c>
      <c r="AJ1" s="63" t="s">
        <v>44</v>
      </c>
      <c r="AK1" s="62" t="s">
        <v>15</v>
      </c>
      <c r="AL1" s="62" t="s">
        <v>21</v>
      </c>
      <c r="AM1" s="62" t="s">
        <v>27</v>
      </c>
      <c r="AN1" s="62" t="s">
        <v>33</v>
      </c>
      <c r="AO1" s="62" t="s">
        <v>39</v>
      </c>
      <c r="AP1" s="62" t="s">
        <v>45</v>
      </c>
      <c r="AQ1" s="63" t="s">
        <v>16</v>
      </c>
      <c r="AR1" s="63" t="s">
        <v>22</v>
      </c>
      <c r="AS1" s="63" t="s">
        <v>28</v>
      </c>
      <c r="AT1" s="63" t="s">
        <v>34</v>
      </c>
      <c r="AU1" s="63" t="s">
        <v>40</v>
      </c>
      <c r="AV1" s="63" t="s">
        <v>46</v>
      </c>
      <c r="AW1" s="62" t="s">
        <v>74</v>
      </c>
      <c r="AX1" s="62" t="s">
        <v>75</v>
      </c>
      <c r="AY1" s="62" t="s">
        <v>76</v>
      </c>
      <c r="AZ1" s="62" t="s">
        <v>77</v>
      </c>
      <c r="BA1" s="62" t="s">
        <v>78</v>
      </c>
      <c r="BB1" s="62" t="s">
        <v>79</v>
      </c>
      <c r="BC1" s="64" t="s">
        <v>56</v>
      </c>
      <c r="BD1" s="64" t="s">
        <v>57</v>
      </c>
      <c r="BE1" s="63" t="s">
        <v>278</v>
      </c>
    </row>
    <row r="2" spans="1:57" s="65" customFormat="1" x14ac:dyDescent="0.3">
      <c r="A2" s="65" t="str">
        <f>""</f>
        <v/>
      </c>
      <c r="B2" s="65" t="str">
        <f>""</f>
        <v/>
      </c>
      <c r="C2" s="65" t="str">
        <f>""</f>
        <v/>
      </c>
      <c r="D2" s="65" t="str">
        <f>""</f>
        <v/>
      </c>
      <c r="E2" s="65" t="str">
        <f>""</f>
        <v/>
      </c>
      <c r="F2" s="65" t="str">
        <f>""</f>
        <v/>
      </c>
      <c r="G2" s="65" t="str">
        <f>""</f>
        <v/>
      </c>
      <c r="H2" s="65" t="str">
        <f>""</f>
        <v/>
      </c>
      <c r="I2" s="65" t="str">
        <f>""</f>
        <v/>
      </c>
      <c r="J2" s="65" t="str">
        <f>""</f>
        <v/>
      </c>
      <c r="K2" s="65" t="str">
        <f>""</f>
        <v/>
      </c>
      <c r="L2" s="65" t="str">
        <f>""</f>
        <v/>
      </c>
      <c r="M2" s="65" t="str">
        <f>""</f>
        <v/>
      </c>
      <c r="N2" s="65" t="str">
        <f>""</f>
        <v/>
      </c>
      <c r="O2" s="65" t="str">
        <f>""</f>
        <v/>
      </c>
      <c r="P2" s="65" t="str">
        <f>""</f>
        <v/>
      </c>
      <c r="Q2" s="65" t="str">
        <f>""</f>
        <v/>
      </c>
      <c r="R2" s="65" t="str">
        <f>""</f>
        <v/>
      </c>
      <c r="S2" s="65" t="str">
        <f>""</f>
        <v/>
      </c>
      <c r="T2" s="65" t="str">
        <f>""</f>
        <v/>
      </c>
      <c r="U2" s="65" t="str">
        <f>""</f>
        <v/>
      </c>
      <c r="V2" s="65" t="str">
        <f>""</f>
        <v/>
      </c>
      <c r="W2" s="65" t="str">
        <f>""</f>
        <v/>
      </c>
      <c r="X2" s="65" t="str">
        <f>""</f>
        <v/>
      </c>
      <c r="Y2" s="65" t="str">
        <f>""</f>
        <v/>
      </c>
      <c r="Z2" s="65" t="str">
        <f>""</f>
        <v/>
      </c>
      <c r="AA2" s="65" t="str">
        <f>""</f>
        <v/>
      </c>
      <c r="AB2" s="65" t="str">
        <f>""</f>
        <v/>
      </c>
      <c r="AC2" s="65" t="str">
        <f>""</f>
        <v/>
      </c>
      <c r="AD2" s="65" t="str">
        <f>""</f>
        <v/>
      </c>
      <c r="AE2" s="65" t="str">
        <f>""</f>
        <v/>
      </c>
      <c r="AF2" s="65" t="str">
        <f>""</f>
        <v/>
      </c>
      <c r="AG2" s="65" t="str">
        <f>""</f>
        <v/>
      </c>
      <c r="AH2" s="65" t="str">
        <f>""</f>
        <v/>
      </c>
      <c r="AI2" s="65" t="str">
        <f>""</f>
        <v/>
      </c>
      <c r="AJ2" s="65" t="str">
        <f>""</f>
        <v/>
      </c>
      <c r="AK2" s="65" t="str">
        <f>""</f>
        <v/>
      </c>
      <c r="AL2" s="65" t="str">
        <f>""</f>
        <v/>
      </c>
      <c r="AM2" s="65" t="str">
        <f>""</f>
        <v/>
      </c>
      <c r="AN2" s="65" t="str">
        <f>""</f>
        <v/>
      </c>
      <c r="AO2" s="65" t="str">
        <f>""</f>
        <v/>
      </c>
      <c r="AP2" s="65" t="str">
        <f>""</f>
        <v/>
      </c>
      <c r="AQ2" s="65" t="str">
        <f>""</f>
        <v/>
      </c>
      <c r="AR2" s="65" t="str">
        <f>""</f>
        <v/>
      </c>
      <c r="AS2" s="65" t="str">
        <f>""</f>
        <v/>
      </c>
      <c r="AT2" s="65" t="str">
        <f>""</f>
        <v/>
      </c>
      <c r="AU2" s="65" t="str">
        <f>""</f>
        <v/>
      </c>
      <c r="AV2" s="65" t="str">
        <f>""</f>
        <v/>
      </c>
      <c r="AW2" s="65" t="str">
        <f>""</f>
        <v/>
      </c>
      <c r="AX2" s="65" t="str">
        <f>""</f>
        <v/>
      </c>
      <c r="AY2" s="65" t="str">
        <f>""</f>
        <v/>
      </c>
      <c r="AZ2" s="65" t="str">
        <f>""</f>
        <v/>
      </c>
      <c r="BA2" s="65" t="str">
        <f>""</f>
        <v/>
      </c>
      <c r="BB2" s="65" t="str">
        <f>""</f>
        <v/>
      </c>
      <c r="BC2" s="65" t="str">
        <f>""</f>
        <v/>
      </c>
      <c r="BD2" s="65" t="str">
        <f>""</f>
        <v/>
      </c>
      <c r="BE2" s="65" t="str">
        <f>""</f>
        <v/>
      </c>
    </row>
  </sheetData>
  <conditionalFormatting sqref="B1:AJ1">
    <cfRule type="duplicateValues" dxfId="4" priority="5"/>
  </conditionalFormatting>
  <conditionalFormatting sqref="AK1:BB1">
    <cfRule type="duplicateValues" dxfId="3" priority="4"/>
  </conditionalFormatting>
  <conditionalFormatting sqref="AK1:BB1">
    <cfRule type="duplicateValues" dxfId="2" priority="3"/>
  </conditionalFormatting>
  <conditionalFormatting sqref="A1">
    <cfRule type="duplicateValues" dxfId="1" priority="2"/>
  </conditionalFormatting>
  <conditionalFormatting sqref="A1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15521F79EAD046BA8D31B9CAED6739" ma:contentTypeVersion="12" ma:contentTypeDescription="Create a new document." ma:contentTypeScope="" ma:versionID="40fbc57e138cc3f88cf95fdf860d6223">
  <xsd:schema xmlns:xsd="http://www.w3.org/2001/XMLSchema" xmlns:xs="http://www.w3.org/2001/XMLSchema" xmlns:p="http://schemas.microsoft.com/office/2006/metadata/properties" xmlns:ns2="cad6beb4-f22b-4cbd-a695-3e55f02754e3" targetNamespace="http://schemas.microsoft.com/office/2006/metadata/properties" ma:root="true" ma:fieldsID="ab581fe0238289762699c9a20aa5f454" ns2:_="">
    <xsd:import namespace="cad6beb4-f22b-4cbd-a695-3e55f02754e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d6beb4-f22b-4cbd-a695-3e55f02754e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1B94BE9-7130-418C-B159-B20E8CBD541E}">
  <ds:schemaRefs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infopath/2007/PartnerControls"/>
    <ds:schemaRef ds:uri="cad6beb4-f22b-4cbd-a695-3e55f02754e3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9857D8E-457C-45BE-B167-DA02CB3155C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D085207-E18A-413E-AB0B-524667F7EF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d6beb4-f22b-4cbd-a695-3e55f02754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1</vt:i4>
      </vt:variant>
    </vt:vector>
  </HeadingPairs>
  <TitlesOfParts>
    <vt:vector size="17" baseType="lpstr">
      <vt:lpstr>MKITS</vt:lpstr>
      <vt:lpstr>Sheet1</vt:lpstr>
      <vt:lpstr>QUERY</vt:lpstr>
      <vt:lpstr>BDKITS</vt:lpstr>
      <vt:lpstr>VolvoKitA</vt:lpstr>
      <vt:lpstr>VolvoKitA3x2</vt:lpstr>
      <vt:lpstr>VolvoFiltro</vt:lpstr>
      <vt:lpstr>MackFiltro</vt:lpstr>
      <vt:lpstr>MackKitA</vt:lpstr>
      <vt:lpstr>MackKitA3x2</vt:lpstr>
      <vt:lpstr>VCEKitA</vt:lpstr>
      <vt:lpstr>VCEKitA3x2</vt:lpstr>
      <vt:lpstr>VCEFiltro</vt:lpstr>
      <vt:lpstr>UDFiltro</vt:lpstr>
      <vt:lpstr>PentaKitA</vt:lpstr>
      <vt:lpstr>PentaKitA3x2</vt:lpstr>
      <vt:lpstr>QUERY!Área_de_extracción</vt:lpstr>
    </vt:vector>
  </TitlesOfParts>
  <Company>Volvo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wilbert.paniagua@volvo.com</dc:creator>
  <cp:lastModifiedBy>RAUL</cp:lastModifiedBy>
  <cp:lastPrinted>2020-03-11T17:45:26Z</cp:lastPrinted>
  <dcterms:created xsi:type="dcterms:W3CDTF">2018-12-28T15:39:16Z</dcterms:created>
  <dcterms:modified xsi:type="dcterms:W3CDTF">2021-02-08T14:21:06Z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0x0101008515521F79EAD046BA8D31B9CAED6739</vt:lpwstr>
  </property>
</Properties>
</file>