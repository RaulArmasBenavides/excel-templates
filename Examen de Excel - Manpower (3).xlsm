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slicers/slicer1.xml" ContentType="application/vnd.ms-excel.slicer+xml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\Documents\"/>
    </mc:Choice>
  </mc:AlternateContent>
  <xr:revisionPtr revIDLastSave="0" documentId="13_ncr:1_{4699267B-6D4F-450E-AC48-59AE8D8DEA99}" xr6:coauthVersionLast="47" xr6:coauthVersionMax="47" xr10:uidLastSave="{00000000-0000-0000-0000-000000000000}"/>
  <bookViews>
    <workbookView xWindow="19090" yWindow="-110" windowWidth="38620" windowHeight="21100" tabRatio="965" firstSheet="1" activeTab="9" xr2:uid="{0A081E23-D262-4E3F-9EE6-F34F0210F79C}"/>
  </bookViews>
  <sheets>
    <sheet name="Selección de Preguntas" sheetId="51" state="hidden" r:id="rId1"/>
    <sheet name="INICIO" sheetId="48" r:id="rId2"/>
    <sheet name="FÓRMULAS" sheetId="52" r:id="rId3"/>
    <sheet name="INMOVILIZA PANELES" sheetId="54" r:id="rId4"/>
    <sheet name="FORMATO CONDICIONAL" sheetId="53" r:id="rId5"/>
    <sheet name="FILTRO" sheetId="55" r:id="rId6"/>
    <sheet name="BUSCARV" sheetId="56" r:id="rId7"/>
    <sheet name="TABLA DINÁMICA 1" sheetId="24" r:id="rId8"/>
    <sheet name="TABLA DINÁMICA 2" sheetId="23" r:id="rId9"/>
    <sheet name="MACROS" sheetId="49" r:id="rId10"/>
    <sheet name="MACROS Y FORMULARIO" sheetId="50" state="hidden" r:id="rId11"/>
  </sheets>
  <externalReferences>
    <externalReference r:id="rId12"/>
    <externalReference r:id="rId13"/>
  </externalReferences>
  <definedNames>
    <definedName name="_Base_datos_a_filtrar" localSheetId="4" hidden="1">'FORMATO CONDICIONAL'!$A$15:$F$35</definedName>
    <definedName name="_xlnm._FilterDatabase" localSheetId="5" hidden="1">FILTRO!$A$14:$I$91</definedName>
    <definedName name="_xlnm._FilterDatabase" localSheetId="4" hidden="1">'FORMATO CONDICIONAL'!$A$15:$G$35</definedName>
    <definedName name="_xlnm._FilterDatabase" localSheetId="3" hidden="1">'INMOVILIZA PANELES'!$A$14:$I$122</definedName>
    <definedName name="a" localSheetId="6">#REF!</definedName>
    <definedName name="a" localSheetId="5">#REF!</definedName>
    <definedName name="a" localSheetId="4">#REF!</definedName>
    <definedName name="a" localSheetId="2">#REF!</definedName>
    <definedName name="a" localSheetId="3">#REF!</definedName>
    <definedName name="a" localSheetId="7">#REF!</definedName>
    <definedName name="a">#REF!</definedName>
    <definedName name="ANTI" localSheetId="6">#REF!</definedName>
    <definedName name="ANTI" localSheetId="5">#REF!</definedName>
    <definedName name="ANTI" localSheetId="4">#REF!</definedName>
    <definedName name="ANTI" localSheetId="2">#REF!</definedName>
    <definedName name="ANTI" localSheetId="3">#REF!</definedName>
    <definedName name="ANTI">#REF!</definedName>
    <definedName name="_xlnm.Extract" localSheetId="3">'INMOVILIZA PANELES'!$M$14</definedName>
    <definedName name="_xlnm.Print_Area" localSheetId="3">'INMOVILIZA PANELES'!#REF!</definedName>
    <definedName name="base" localSheetId="6">#REF!</definedName>
    <definedName name="base" localSheetId="5">#REF!</definedName>
    <definedName name="base" localSheetId="4">#REF!</definedName>
    <definedName name="base" localSheetId="2">#REF!</definedName>
    <definedName name="base" localSheetId="3">#REF!</definedName>
    <definedName name="base" localSheetId="7">#REF!</definedName>
    <definedName name="base" localSheetId="8">#REF!</definedName>
    <definedName name="base">#REF!</definedName>
    <definedName name="CLASE" localSheetId="6">#REF!</definedName>
    <definedName name="CLASE" localSheetId="5">#REF!</definedName>
    <definedName name="CLASE" localSheetId="4">#REF!</definedName>
    <definedName name="CLASE" localSheetId="2">#REF!</definedName>
    <definedName name="CLASE" localSheetId="3">#REF!</definedName>
    <definedName name="CLASE" localSheetId="7">#REF!</definedName>
    <definedName name="CLASE">#REF!</definedName>
    <definedName name="CUOTAS" localSheetId="6">#REF!</definedName>
    <definedName name="CUOTAS" localSheetId="5">#REF!</definedName>
    <definedName name="CUOTAS" localSheetId="4">#REF!</definedName>
    <definedName name="CUOTAS" localSheetId="2">#REF!</definedName>
    <definedName name="CUOTAS" localSheetId="3">#REF!</definedName>
    <definedName name="CUOTAS" localSheetId="7">#REF!</definedName>
    <definedName name="CUOTAS">#REF!</definedName>
    <definedName name="d" localSheetId="6">#REF!</definedName>
    <definedName name="d" localSheetId="5">#REF!</definedName>
    <definedName name="d" localSheetId="4">#REF!</definedName>
    <definedName name="d" localSheetId="2">#REF!</definedName>
    <definedName name="d" localSheetId="3">#REF!</definedName>
    <definedName name="d" localSheetId="7">#REF!</definedName>
    <definedName name="d">#REF!</definedName>
    <definedName name="DESCUENTO" localSheetId="6">#REF!</definedName>
    <definedName name="DESCUENTO" localSheetId="5">#REF!</definedName>
    <definedName name="DESCUENTO" localSheetId="4">#REF!</definedName>
    <definedName name="DESCUENTO" localSheetId="2">#REF!</definedName>
    <definedName name="DESCUENTO" localSheetId="3">#REF!</definedName>
    <definedName name="DESCUENTO">#REF!</definedName>
    <definedName name="DESCUENTOS" localSheetId="6">[1]DATOS!$B$6:$C$14</definedName>
    <definedName name="DESCUENTOS">[2]DATOS!$B$6:$C$14</definedName>
    <definedName name="FAMILIAR" localSheetId="6">#REF!</definedName>
    <definedName name="FAMILIAR" localSheetId="5">#REF!</definedName>
    <definedName name="FAMILIAR" localSheetId="4">#REF!</definedName>
    <definedName name="FAMILIAR" localSheetId="2">#REF!</definedName>
    <definedName name="FAMILIAR" localSheetId="3">#REF!</definedName>
    <definedName name="FAMILIAR">#REF!</definedName>
    <definedName name="RECARGO" localSheetId="6">[1]DATOS!$F$7</definedName>
    <definedName name="RECARGO">[2]DATOS!$F$7</definedName>
    <definedName name="s" localSheetId="6">#REF!</definedName>
    <definedName name="s" localSheetId="5">#REF!</definedName>
    <definedName name="s" localSheetId="4">#REF!</definedName>
    <definedName name="s" localSheetId="2">#REF!</definedName>
    <definedName name="s" localSheetId="3">#REF!</definedName>
    <definedName name="s">#REF!</definedName>
    <definedName name="SegmentaciónDeDatos_Mes">#N/A</definedName>
    <definedName name="tab">#REF!</definedName>
    <definedName name="UNIDAD" localSheetId="6">[1]DATOS!$E$7</definedName>
    <definedName name="UNIDAD">[2]DATOS!$E$7</definedName>
  </definedNames>
  <calcPr calcId="191029"/>
  <pivotCaches>
    <pivotCache cacheId="0" r:id="rId14"/>
    <pivotCache cacheId="1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52" l="1"/>
  <c r="F21" i="52"/>
  <c r="F22" i="52"/>
  <c r="F19" i="52"/>
  <c r="E20" i="52"/>
  <c r="E21" i="52"/>
  <c r="E22" i="52"/>
  <c r="E19" i="52"/>
  <c r="D20" i="52"/>
  <c r="D21" i="52"/>
  <c r="D22" i="52"/>
  <c r="D19" i="52"/>
  <c r="E17" i="56"/>
  <c r="E18" i="56"/>
  <c r="E19" i="56"/>
  <c r="E20" i="56"/>
  <c r="E21" i="56"/>
  <c r="E22" i="56"/>
  <c r="E23" i="56"/>
  <c r="E24" i="56"/>
  <c r="E25" i="56"/>
  <c r="E26" i="56"/>
  <c r="E27" i="56"/>
  <c r="E16" i="56"/>
  <c r="H30" i="48"/>
  <c r="K7" i="48"/>
  <c r="G30" i="48"/>
  <c r="H16" i="54"/>
  <c r="H17" i="54"/>
  <c r="I17" i="54"/>
  <c r="H18" i="54"/>
  <c r="I18" i="54"/>
  <c r="H19" i="54"/>
  <c r="I19" i="54"/>
  <c r="H20" i="54"/>
  <c r="H21" i="54"/>
  <c r="I21" i="54"/>
  <c r="H22" i="54"/>
  <c r="I22" i="54"/>
  <c r="H23" i="54"/>
  <c r="I23" i="54"/>
  <c r="H24" i="54"/>
  <c r="I24" i="54"/>
  <c r="H25" i="54"/>
  <c r="H26" i="54"/>
  <c r="I26" i="54"/>
  <c r="H27" i="54"/>
  <c r="I27" i="54"/>
  <c r="H28" i="54"/>
  <c r="H29" i="54"/>
  <c r="I29" i="54"/>
  <c r="H30" i="54"/>
  <c r="I30" i="54"/>
  <c r="H31" i="54"/>
  <c r="H32" i="54"/>
  <c r="I32" i="54"/>
  <c r="H33" i="54"/>
  <c r="H34" i="54"/>
  <c r="I34" i="54"/>
  <c r="H35" i="54"/>
  <c r="I35" i="54"/>
  <c r="H36" i="54"/>
  <c r="I36" i="54"/>
  <c r="H37" i="54"/>
  <c r="H38" i="54"/>
  <c r="H39" i="54"/>
  <c r="H40" i="54"/>
  <c r="H41" i="54"/>
  <c r="I41" i="54"/>
  <c r="H42" i="54"/>
  <c r="I42" i="54"/>
  <c r="H43" i="54"/>
  <c r="I43" i="54"/>
  <c r="H44" i="54"/>
  <c r="I44" i="54"/>
  <c r="H45" i="54"/>
  <c r="H46" i="54"/>
  <c r="H47" i="54"/>
  <c r="H48" i="54"/>
  <c r="H49" i="54"/>
  <c r="I49" i="54"/>
  <c r="H50" i="54"/>
  <c r="I50" i="54"/>
  <c r="H51" i="54"/>
  <c r="I51" i="54"/>
  <c r="H52" i="54"/>
  <c r="H53" i="54"/>
  <c r="I53" i="54"/>
  <c r="H54" i="54"/>
  <c r="I54" i="54"/>
  <c r="H55" i="54"/>
  <c r="I55" i="54"/>
  <c r="H56" i="54"/>
  <c r="I56" i="54"/>
  <c r="H57" i="54"/>
  <c r="H58" i="54"/>
  <c r="I58" i="54"/>
  <c r="H59" i="54"/>
  <c r="I59" i="54"/>
  <c r="H60" i="54"/>
  <c r="H61" i="54"/>
  <c r="I61" i="54"/>
  <c r="H62" i="54"/>
  <c r="I62" i="54"/>
  <c r="H63" i="54"/>
  <c r="I63" i="54"/>
  <c r="H64" i="54"/>
  <c r="I64" i="54"/>
  <c r="H65" i="54"/>
  <c r="H66" i="54"/>
  <c r="I66" i="54"/>
  <c r="H67" i="54"/>
  <c r="I67" i="54"/>
  <c r="H68" i="54"/>
  <c r="I68" i="54"/>
  <c r="H69" i="54"/>
  <c r="H70" i="54"/>
  <c r="H71" i="54"/>
  <c r="H72" i="54"/>
  <c r="H73" i="54"/>
  <c r="I73" i="54"/>
  <c r="H74" i="54"/>
  <c r="I74" i="54"/>
  <c r="H75" i="54"/>
  <c r="I75" i="54"/>
  <c r="H76" i="54"/>
  <c r="I76" i="54"/>
  <c r="H77" i="54"/>
  <c r="H78" i="54"/>
  <c r="H79" i="54"/>
  <c r="H80" i="54"/>
  <c r="H81" i="54"/>
  <c r="I81" i="54"/>
  <c r="H82" i="54"/>
  <c r="I82" i="54"/>
  <c r="H83" i="54"/>
  <c r="I83" i="54"/>
  <c r="H84" i="54"/>
  <c r="H85" i="54"/>
  <c r="I85" i="54"/>
  <c r="H86" i="54"/>
  <c r="I86" i="54"/>
  <c r="H87" i="54"/>
  <c r="I87" i="54"/>
  <c r="H88" i="54"/>
  <c r="I88" i="54"/>
  <c r="H89" i="54"/>
  <c r="H90" i="54"/>
  <c r="I90" i="54"/>
  <c r="H91" i="54"/>
  <c r="I91" i="54"/>
  <c r="H92" i="54"/>
  <c r="H93" i="54"/>
  <c r="I93" i="54"/>
  <c r="H94" i="54"/>
  <c r="I94" i="54"/>
  <c r="H95" i="54"/>
  <c r="I95" i="54"/>
  <c r="H96" i="54"/>
  <c r="I96" i="54"/>
  <c r="H97" i="54"/>
  <c r="H98" i="54"/>
  <c r="I98" i="54"/>
  <c r="H99" i="54"/>
  <c r="I99" i="54"/>
  <c r="H100" i="54"/>
  <c r="I100" i="54"/>
  <c r="H101" i="54"/>
  <c r="H102" i="54"/>
  <c r="H103" i="54"/>
  <c r="H104" i="54"/>
  <c r="H105" i="54"/>
  <c r="I105" i="54"/>
  <c r="H106" i="54"/>
  <c r="I106" i="54"/>
  <c r="H107" i="54"/>
  <c r="I107" i="54"/>
  <c r="H108" i="54"/>
  <c r="I108" i="54"/>
  <c r="H109" i="54"/>
  <c r="H110" i="54"/>
  <c r="H111" i="54"/>
  <c r="H112" i="54"/>
  <c r="H113" i="54"/>
  <c r="I113" i="54"/>
  <c r="H114" i="54"/>
  <c r="I114" i="54"/>
  <c r="H115" i="54"/>
  <c r="I115" i="54"/>
  <c r="H116" i="54"/>
  <c r="H117" i="54"/>
  <c r="I117" i="54"/>
  <c r="H118" i="54"/>
  <c r="I118" i="54"/>
  <c r="H119" i="54"/>
  <c r="I119" i="54"/>
  <c r="H120" i="54"/>
  <c r="I120" i="54"/>
  <c r="H121" i="54"/>
  <c r="H122" i="54"/>
  <c r="I122" i="54"/>
  <c r="H15" i="54"/>
  <c r="I15" i="54"/>
  <c r="H15" i="55"/>
  <c r="I15" i="55" s="1"/>
  <c r="H16" i="55"/>
  <c r="I16" i="55" s="1"/>
  <c r="H17" i="55"/>
  <c r="I17" i="55" s="1"/>
  <c r="H18" i="55"/>
  <c r="I18" i="55" s="1"/>
  <c r="H19" i="55"/>
  <c r="I19" i="55" s="1"/>
  <c r="H20" i="55"/>
  <c r="I20" i="55" s="1"/>
  <c r="H21" i="55"/>
  <c r="I21" i="55" s="1"/>
  <c r="H22" i="55"/>
  <c r="I22" i="55" s="1"/>
  <c r="H23" i="55"/>
  <c r="I23" i="55" s="1"/>
  <c r="H24" i="55"/>
  <c r="I24" i="55" s="1"/>
  <c r="H25" i="55"/>
  <c r="I25" i="55" s="1"/>
  <c r="H26" i="55"/>
  <c r="I26" i="55" s="1"/>
  <c r="H27" i="55"/>
  <c r="I27" i="55" s="1"/>
  <c r="H28" i="55"/>
  <c r="I28" i="55" s="1"/>
  <c r="H29" i="55"/>
  <c r="I29" i="55" s="1"/>
  <c r="H30" i="55"/>
  <c r="I30" i="55" s="1"/>
  <c r="H31" i="55"/>
  <c r="I31" i="55" s="1"/>
  <c r="H32" i="55"/>
  <c r="I32" i="55" s="1"/>
  <c r="H33" i="55"/>
  <c r="I33" i="55" s="1"/>
  <c r="H34" i="55"/>
  <c r="I34" i="55" s="1"/>
  <c r="H35" i="55"/>
  <c r="I35" i="55" s="1"/>
  <c r="H36" i="55"/>
  <c r="I36" i="55" s="1"/>
  <c r="H37" i="55"/>
  <c r="I37" i="55" s="1"/>
  <c r="H38" i="55"/>
  <c r="I38" i="55" s="1"/>
  <c r="H39" i="55"/>
  <c r="I39" i="55" s="1"/>
  <c r="H40" i="55"/>
  <c r="I40" i="55" s="1"/>
  <c r="H41" i="55"/>
  <c r="I41" i="55" s="1"/>
  <c r="H42" i="55"/>
  <c r="I42" i="55" s="1"/>
  <c r="H43" i="55"/>
  <c r="I43" i="55" s="1"/>
  <c r="H44" i="55"/>
  <c r="I44" i="55" s="1"/>
  <c r="H45" i="55"/>
  <c r="I45" i="55" s="1"/>
  <c r="H46" i="55"/>
  <c r="I46" i="55" s="1"/>
  <c r="H47" i="55"/>
  <c r="I47" i="55" s="1"/>
  <c r="H48" i="55"/>
  <c r="I48" i="55" s="1"/>
  <c r="H49" i="55"/>
  <c r="I49" i="55" s="1"/>
  <c r="H50" i="55"/>
  <c r="I50" i="55" s="1"/>
  <c r="H51" i="55"/>
  <c r="I51" i="55" s="1"/>
  <c r="H52" i="55"/>
  <c r="I52" i="55" s="1"/>
  <c r="H53" i="55"/>
  <c r="I53" i="55" s="1"/>
  <c r="H54" i="55"/>
  <c r="I54" i="55" s="1"/>
  <c r="H55" i="55"/>
  <c r="I55" i="55" s="1"/>
  <c r="H56" i="55"/>
  <c r="I56" i="55" s="1"/>
  <c r="H57" i="55"/>
  <c r="I57" i="55" s="1"/>
  <c r="H58" i="55"/>
  <c r="I58" i="55" s="1"/>
  <c r="H59" i="55"/>
  <c r="I59" i="55" s="1"/>
  <c r="H60" i="55"/>
  <c r="I60" i="55" s="1"/>
  <c r="H61" i="55"/>
  <c r="I61" i="55" s="1"/>
  <c r="H62" i="55"/>
  <c r="I62" i="55" s="1"/>
  <c r="H63" i="55"/>
  <c r="I63" i="55" s="1"/>
  <c r="H64" i="55"/>
  <c r="I64" i="55" s="1"/>
  <c r="H65" i="55"/>
  <c r="I65" i="55" s="1"/>
  <c r="H66" i="55"/>
  <c r="I66" i="55" s="1"/>
  <c r="H67" i="55"/>
  <c r="I67" i="55" s="1"/>
  <c r="H68" i="55"/>
  <c r="I68" i="55" s="1"/>
  <c r="H69" i="55"/>
  <c r="I69" i="55" s="1"/>
  <c r="H70" i="55"/>
  <c r="I70" i="55" s="1"/>
  <c r="H71" i="55"/>
  <c r="I71" i="55" s="1"/>
  <c r="H72" i="55"/>
  <c r="I72" i="55" s="1"/>
  <c r="H73" i="55"/>
  <c r="I73" i="55" s="1"/>
  <c r="H74" i="55"/>
  <c r="I74" i="55" s="1"/>
  <c r="H75" i="55"/>
  <c r="I75" i="55" s="1"/>
  <c r="H76" i="55"/>
  <c r="I76" i="55" s="1"/>
  <c r="H77" i="55"/>
  <c r="I77" i="55" s="1"/>
  <c r="H78" i="55"/>
  <c r="I78" i="55" s="1"/>
  <c r="H79" i="55"/>
  <c r="I79" i="55" s="1"/>
  <c r="H80" i="55"/>
  <c r="I80" i="55" s="1"/>
  <c r="H81" i="55"/>
  <c r="I81" i="55" s="1"/>
  <c r="H82" i="55"/>
  <c r="I82" i="55" s="1"/>
  <c r="H83" i="55"/>
  <c r="I83" i="55" s="1"/>
  <c r="H84" i="55"/>
  <c r="I84" i="55" s="1"/>
  <c r="H85" i="55"/>
  <c r="I85" i="55" s="1"/>
  <c r="H86" i="55"/>
  <c r="I86" i="55" s="1"/>
  <c r="H87" i="55"/>
  <c r="I87" i="55" s="1"/>
  <c r="H88" i="55"/>
  <c r="I88" i="55" s="1"/>
  <c r="H89" i="55"/>
  <c r="I89" i="55" s="1"/>
  <c r="H90" i="55"/>
  <c r="I90" i="55" s="1"/>
  <c r="H91" i="55"/>
  <c r="I91" i="55" s="1"/>
  <c r="I16" i="54"/>
  <c r="I20" i="54"/>
  <c r="I25" i="54"/>
  <c r="I28" i="54"/>
  <c r="I31" i="54"/>
  <c r="I33" i="54"/>
  <c r="I37" i="54"/>
  <c r="I38" i="54"/>
  <c r="I39" i="54"/>
  <c r="I40" i="54"/>
  <c r="I45" i="54"/>
  <c r="I46" i="54"/>
  <c r="I47" i="54"/>
  <c r="I48" i="54"/>
  <c r="I52" i="54"/>
  <c r="I57" i="54"/>
  <c r="I60" i="54"/>
  <c r="I65" i="54"/>
  <c r="I69" i="54"/>
  <c r="I70" i="54"/>
  <c r="I71" i="54"/>
  <c r="I72" i="54"/>
  <c r="I77" i="54"/>
  <c r="I78" i="54"/>
  <c r="I79" i="54"/>
  <c r="I80" i="54"/>
  <c r="I84" i="54"/>
  <c r="I89" i="54"/>
  <c r="I92" i="54"/>
  <c r="I97" i="54"/>
  <c r="I101" i="54"/>
  <c r="I102" i="54"/>
  <c r="I103" i="54"/>
  <c r="I104" i="54"/>
  <c r="I109" i="54"/>
  <c r="I110" i="54"/>
  <c r="I111" i="54"/>
  <c r="I112" i="54"/>
  <c r="I116" i="54"/>
  <c r="I121" i="54"/>
</calcChain>
</file>

<file path=xl/sharedStrings.xml><?xml version="1.0" encoding="utf-8"?>
<sst xmlns="http://schemas.openxmlformats.org/spreadsheetml/2006/main" count="1196" uniqueCount="561">
  <si>
    <t>Electricidad</t>
  </si>
  <si>
    <t>Gasfitería</t>
  </si>
  <si>
    <t>Marzo</t>
  </si>
  <si>
    <t>Febrero</t>
  </si>
  <si>
    <t>Enero</t>
  </si>
  <si>
    <t>Mes</t>
  </si>
  <si>
    <t>Obra</t>
  </si>
  <si>
    <t>Concepto</t>
  </si>
  <si>
    <t>Valor</t>
  </si>
  <si>
    <t>Abril</t>
  </si>
  <si>
    <t>Brasil 678</t>
  </si>
  <si>
    <t>Gran Avenida 378</t>
  </si>
  <si>
    <t>San Ignacio 1041</t>
  </si>
  <si>
    <t>Pintura</t>
  </si>
  <si>
    <t>Junio</t>
  </si>
  <si>
    <t>Mayo</t>
  </si>
  <si>
    <t>Cargo:</t>
  </si>
  <si>
    <t>Nombres y Apellidos:</t>
  </si>
  <si>
    <t>Área</t>
  </si>
  <si>
    <t>Por favor complete sus datos:</t>
  </si>
  <si>
    <t>N°</t>
  </si>
  <si>
    <t>Nombres</t>
  </si>
  <si>
    <t>Apellidos</t>
  </si>
  <si>
    <t>Teléfono</t>
  </si>
  <si>
    <t>Ciudad Nacimiento</t>
  </si>
  <si>
    <t>Sede</t>
  </si>
  <si>
    <t>ERIKA</t>
  </si>
  <si>
    <t>Lima</t>
  </si>
  <si>
    <t>JOSEFINA</t>
  </si>
  <si>
    <t>Ica</t>
  </si>
  <si>
    <t>Arequipa</t>
  </si>
  <si>
    <t>MARIBEL</t>
  </si>
  <si>
    <t>Huaraz</t>
  </si>
  <si>
    <t>Piura</t>
  </si>
  <si>
    <t>JORGE</t>
  </si>
  <si>
    <t>GIOVANNA</t>
  </si>
  <si>
    <t>La Libertad</t>
  </si>
  <si>
    <t>JENNY</t>
  </si>
  <si>
    <t>Tumbes</t>
  </si>
  <si>
    <t>IRINA</t>
  </si>
  <si>
    <t>Pisco</t>
  </si>
  <si>
    <t>FERNANDO</t>
  </si>
  <si>
    <t>MAGDA</t>
  </si>
  <si>
    <t>AURELIO</t>
  </si>
  <si>
    <t>ROXANA</t>
  </si>
  <si>
    <t>CARMEN</t>
  </si>
  <si>
    <t>EVA</t>
  </si>
  <si>
    <t>Num</t>
  </si>
  <si>
    <t>Apellidos y Nombres</t>
  </si>
  <si>
    <t>DNI</t>
  </si>
  <si>
    <t>Sexo</t>
  </si>
  <si>
    <t>Núm. Hijos</t>
  </si>
  <si>
    <t>Area</t>
  </si>
  <si>
    <t>%AFP</t>
  </si>
  <si>
    <t>Sueldo Básico</t>
  </si>
  <si>
    <t>Asignación Familiar</t>
  </si>
  <si>
    <t>Neto a Pagar</t>
  </si>
  <si>
    <t>Areas</t>
  </si>
  <si>
    <t>Contabilidad</t>
  </si>
  <si>
    <t>Administración</t>
  </si>
  <si>
    <t>Proyectos</t>
  </si>
  <si>
    <t>Marketing</t>
  </si>
  <si>
    <t>Operaciones</t>
  </si>
  <si>
    <t>NIVEL BÁSICO</t>
  </si>
  <si>
    <t>NIVEL INTERMEDIO</t>
  </si>
  <si>
    <t>NIVEL AVANZADO</t>
  </si>
  <si>
    <t>CONTADO</t>
  </si>
  <si>
    <t>A1</t>
  </si>
  <si>
    <t>SAN MIGUEL</t>
  </si>
  <si>
    <t>CRISTOBAL ROMERO SILVA</t>
  </si>
  <si>
    <t>CREDITO</t>
  </si>
  <si>
    <t>B</t>
  </si>
  <si>
    <t>SANTIAGO</t>
  </si>
  <si>
    <t>SOLANGE CONTRERAS PEREA</t>
  </si>
  <si>
    <t>A</t>
  </si>
  <si>
    <t>QUINTA NORMAL</t>
  </si>
  <si>
    <t>JANETTE CALDERON MIRANDA</t>
  </si>
  <si>
    <t>PROVIDENCIA</t>
  </si>
  <si>
    <t>EDUARDO FUENTES LOBOS</t>
  </si>
  <si>
    <t>FRANCISCA SANGUINETI</t>
  </si>
  <si>
    <t>RECOLETA</t>
  </si>
  <si>
    <t>FELIPE VARAS DURAN</t>
  </si>
  <si>
    <t>MACARENA MORALES CASTRO</t>
  </si>
  <si>
    <t>CRISTINA ESPINOZA POBLETE</t>
  </si>
  <si>
    <t>GULLERMO TAPIA LOPEZ</t>
  </si>
  <si>
    <t>EDITH ROJAS VARGAS</t>
  </si>
  <si>
    <t>CARMEN FARIAS ROMERO</t>
  </si>
  <si>
    <t>ALEJANDRO CARREÑO ORDOÑEZ</t>
  </si>
  <si>
    <t>RODRIGO ARIAS GARRIDO</t>
  </si>
  <si>
    <t>CECILIA NUÑES MARDONES</t>
  </si>
  <si>
    <t>SANDRA CASTRO DUARTE</t>
  </si>
  <si>
    <t>DIEGO TRONCOSO BERRIOS</t>
  </si>
  <si>
    <t>JUAN FIGUEROA SIERRA</t>
  </si>
  <si>
    <t>TERESA RIOS TORRES</t>
  </si>
  <si>
    <t>MARIA RODRIGUEZ JARA</t>
  </si>
  <si>
    <t>CARLOS CONTRERAS PEREZ</t>
  </si>
  <si>
    <t>VALOR FINAL</t>
  </si>
  <si>
    <t>CUOTAS</t>
  </si>
  <si>
    <t>PAGO</t>
  </si>
  <si>
    <t>CLASE</t>
  </si>
  <si>
    <t>DETALLE</t>
  </si>
  <si>
    <t>EDAD ALUMNO</t>
  </si>
  <si>
    <t>NOMBRES Y APELLIDOS</t>
  </si>
  <si>
    <t>KILO</t>
  </si>
  <si>
    <t>SOLDADURAS</t>
  </si>
  <si>
    <t>SOLDADURA ACERO BAJA ALEACION 1/8"</t>
  </si>
  <si>
    <t>SL-006</t>
  </si>
  <si>
    <t>SOLDADURA MIG 705-6  0,8 MM CARRETE 15 KG</t>
  </si>
  <si>
    <t>SL-005</t>
  </si>
  <si>
    <t>SOLDADURA M Y H  3 /32 MM (CAJA 25 KG)</t>
  </si>
  <si>
    <t>SL-004</t>
  </si>
  <si>
    <t>SOLDADURA M Y H  1 / 8MM (CAJA 25 KG)</t>
  </si>
  <si>
    <t>SL-003</t>
  </si>
  <si>
    <r>
      <t xml:space="preserve">SOLDADURA M Y H </t>
    </r>
    <r>
      <rPr>
        <b/>
        <sz val="10"/>
        <color indexed="23"/>
        <rFont val="Calibri"/>
        <family val="2"/>
      </rPr>
      <t xml:space="preserve"> </t>
    </r>
    <r>
      <rPr>
        <sz val="10"/>
        <color indexed="23"/>
        <rFont val="Calibri"/>
        <family val="2"/>
      </rPr>
      <t>3 / 16 MM (CAJA 25KG)</t>
    </r>
  </si>
  <si>
    <t>SL-002</t>
  </si>
  <si>
    <t>SOLDADURA ROJA  60 / 10 DE 1/8" (CAJA 25KG)</t>
  </si>
  <si>
    <t>SL-001</t>
  </si>
  <si>
    <t>UNIDAD</t>
  </si>
  <si>
    <t>ARTICULOS DE SEGURIDAD</t>
  </si>
  <si>
    <t xml:space="preserve">LAMPARAS REFLECTANTES AMARILLAS </t>
  </si>
  <si>
    <t>S-014</t>
  </si>
  <si>
    <t>CONOS REFLECTANTES</t>
  </si>
  <si>
    <t>S-013</t>
  </si>
  <si>
    <t>SEÑALIZADORES AMARILLOS REFLECTANTES</t>
  </si>
  <si>
    <t>S-012</t>
  </si>
  <si>
    <t>BOTOTOS DE SEGURIDAD PUNTA ACERO</t>
  </si>
  <si>
    <t>S-011</t>
  </si>
  <si>
    <t>MASCARA PARA ESMERILAR</t>
  </si>
  <si>
    <t>S-010</t>
  </si>
  <si>
    <t>ANTEOJOS PARA ESMERILAR</t>
  </si>
  <si>
    <t>S-009</t>
  </si>
  <si>
    <t>MASCARAS DE SOLDAR</t>
  </si>
  <si>
    <t>S-008</t>
  </si>
  <si>
    <t>CASCOS DE SEGURIDAD</t>
  </si>
  <si>
    <t>S-007</t>
  </si>
  <si>
    <t>GUANTES DE SOLDAR</t>
  </si>
  <si>
    <t>S-006</t>
  </si>
  <si>
    <t>GUANTES DE DESCARNE</t>
  </si>
  <si>
    <t>S-005</t>
  </si>
  <si>
    <t>MANGUILLAS DE DESCARNE</t>
  </si>
  <si>
    <t>S-004</t>
  </si>
  <si>
    <t>DELANTAL DE DESCARNE</t>
  </si>
  <si>
    <t>S-003</t>
  </si>
  <si>
    <t>VESTONES DE DESCARNE</t>
  </si>
  <si>
    <t>S-002</t>
  </si>
  <si>
    <t>ARNES DE SEGURIDAD CON ENTREPIERNAS</t>
  </si>
  <si>
    <t>S-001</t>
  </si>
  <si>
    <t>LITRO</t>
  </si>
  <si>
    <t>PINTURAS LUBRICANTES DILUYENTES</t>
  </si>
  <si>
    <t>PEGAMENTO MIROFIX PARA P.V.C</t>
  </si>
  <si>
    <t>P-007</t>
  </si>
  <si>
    <t>ANTICORROSIVO TIXOPAC NEGRO</t>
  </si>
  <si>
    <t>P-006</t>
  </si>
  <si>
    <t>GALON</t>
  </si>
  <si>
    <t>ESMALTE SINTETICO NEGRO</t>
  </si>
  <si>
    <t>P-005</t>
  </si>
  <si>
    <t>ESMALTE SINTETICO BLANCO</t>
  </si>
  <si>
    <t>P-004</t>
  </si>
  <si>
    <t>ANTIOXIDO REMMER GRIS VERDOSO</t>
  </si>
  <si>
    <t>P-003</t>
  </si>
  <si>
    <t>DILUYENTE PANOL TAMBOR 200LT</t>
  </si>
  <si>
    <t>P-002</t>
  </si>
  <si>
    <t>ACEITE SOLUBLE</t>
  </si>
  <si>
    <t>P-001</t>
  </si>
  <si>
    <t>TIRA</t>
  </si>
  <si>
    <t>PERFILES</t>
  </si>
  <si>
    <t>TUBULAR</t>
  </si>
  <si>
    <t>FP-001</t>
  </si>
  <si>
    <t>KILOS</t>
  </si>
  <si>
    <t>FIERRO CONSTRUCCION</t>
  </si>
  <si>
    <t>FIERRO DE 12 "</t>
  </si>
  <si>
    <t>FC-004</t>
  </si>
  <si>
    <t>FIERRO DE 10 "</t>
  </si>
  <si>
    <t>FC-003</t>
  </si>
  <si>
    <t>FIERRO DE 8 "</t>
  </si>
  <si>
    <t>FC-002</t>
  </si>
  <si>
    <t>FIERRO DE 6 " EN ROLLOS</t>
  </si>
  <si>
    <t>FC-001</t>
  </si>
  <si>
    <t>FERRETERIA</t>
  </si>
  <si>
    <t>CINTA MASKIN 3 M 2  "(CAJAS DE 20)</t>
  </si>
  <si>
    <t>F-019</t>
  </si>
  <si>
    <t>CINTA MASKIN 3 M 3 /4 "(CAJAS DE 20)</t>
  </si>
  <si>
    <t>F-018</t>
  </si>
  <si>
    <t>BROCHAS DE 1 "</t>
  </si>
  <si>
    <t>F-017</t>
  </si>
  <si>
    <t>BROCHAS DE 1 1/2 "</t>
  </si>
  <si>
    <t>F-016</t>
  </si>
  <si>
    <t>BROCHAS DE 2 "</t>
  </si>
  <si>
    <t>F-015</t>
  </si>
  <si>
    <t>DISCO LIJA BLUE LINE 6 " DIAMETRO</t>
  </si>
  <si>
    <t>F-014</t>
  </si>
  <si>
    <t>DISCO DE CORTE 14 " DIAMETRO</t>
  </si>
  <si>
    <t>F-013</t>
  </si>
  <si>
    <t>DISCO DE DESBASTE 7 " DIAMETRO</t>
  </si>
  <si>
    <t>F-012</t>
  </si>
  <si>
    <t>DISCO DE CORTE 7 " DIAMETRO</t>
  </si>
  <si>
    <t>F-011</t>
  </si>
  <si>
    <t>VIDRIOS PARA MASCARA SOLDAR</t>
  </si>
  <si>
    <t>F-010</t>
  </si>
  <si>
    <t>NIPLES DE COBRE 1/ 2"</t>
  </si>
  <si>
    <t>F-009</t>
  </si>
  <si>
    <t>NIPLES DE COBRE 1/ 4"</t>
  </si>
  <si>
    <t>F-008</t>
  </si>
  <si>
    <t>POMELES 1 1/2" DIAMETRO LARGO 5 1/2"</t>
  </si>
  <si>
    <t>F-007</t>
  </si>
  <si>
    <t>TUERCA GALVANIZADA 1/2" DIAMETRO</t>
  </si>
  <si>
    <t>F-006</t>
  </si>
  <si>
    <t>GOLILLAGALVANIZADA 1/2" DIAMETRO</t>
  </si>
  <si>
    <t>F-005</t>
  </si>
  <si>
    <t>PERNOS GALVANIZADOS 1/2" DIAM. LARGO 2"</t>
  </si>
  <si>
    <t>F-004</t>
  </si>
  <si>
    <t>TUERCA A 325 1" DIAMETRO</t>
  </si>
  <si>
    <t>F-003</t>
  </si>
  <si>
    <t>PERNOS 1" A 325 3 1/4 LARGO</t>
  </si>
  <si>
    <t>F-002</t>
  </si>
  <si>
    <t>PERNOS 1 " A 325 3 1/4 " CORTO</t>
  </si>
  <si>
    <t>F-001</t>
  </si>
  <si>
    <t>METRO</t>
  </si>
  <si>
    <t>CORDELES Y PIOLAS</t>
  </si>
  <si>
    <t>ESLINGA EN ROLLO DE 1 " ANCHO</t>
  </si>
  <si>
    <t>C-012</t>
  </si>
  <si>
    <t>ESLINGA EN ROLLOS DE 2 " ANCHO</t>
  </si>
  <si>
    <t>C-011</t>
  </si>
  <si>
    <t>TENSORES DE ESLINGAS</t>
  </si>
  <si>
    <t>C-010</t>
  </si>
  <si>
    <t>ESLINGAS COLA NARANJAS</t>
  </si>
  <si>
    <t>C-009</t>
  </si>
  <si>
    <t>ESLINGAS COLA AZULES</t>
  </si>
  <si>
    <t>C-008</t>
  </si>
  <si>
    <t>CORDEL PERLON 10 MM</t>
  </si>
  <si>
    <t>C-007</t>
  </si>
  <si>
    <t>CORDEL PLASTICO NYLON BLANCO 14 MM</t>
  </si>
  <si>
    <t>C-006</t>
  </si>
  <si>
    <t>CORDEL PLASTICO NYLON BLANCO VERDOSO 12"</t>
  </si>
  <si>
    <t>C-005</t>
  </si>
  <si>
    <t>CORDEL PLASTICO NYLON OCRE 12 MM</t>
  </si>
  <si>
    <t>C-004</t>
  </si>
  <si>
    <t xml:space="preserve">CORDEL PLASTICO NYLON NEGRO12 MM </t>
  </si>
  <si>
    <t>C-003</t>
  </si>
  <si>
    <t>CORDEL PLASTICO NYLON BLANCO 12 MM</t>
  </si>
  <si>
    <t>C-002</t>
  </si>
  <si>
    <t>CORDEL PLASTICO NYLON NEGRO 10 MM</t>
  </si>
  <si>
    <t>C-001</t>
  </si>
  <si>
    <t>ARTICULOS ELECTRICOS</t>
  </si>
  <si>
    <t>CONTACTOR MAGNETICO MITSUBISHI 25 AMP S-N 25</t>
  </si>
  <si>
    <t>AE-047</t>
  </si>
  <si>
    <t>CONTACTOR MAGNETICO MITSUBISHI 50 AMP S-N 50</t>
  </si>
  <si>
    <t>AE-046</t>
  </si>
  <si>
    <t>CONTACTOR MAGNETICO MITSUBISHI 32 AMP S-N 20 ?</t>
  </si>
  <si>
    <t>AE-045</t>
  </si>
  <si>
    <t>INTERRUPTOR MITSUBISHI 50 AMP NF 50 CP NEGRO</t>
  </si>
  <si>
    <t>AE-044</t>
  </si>
  <si>
    <t>INTERRUPTOR MITSUBISHI 75 AMP NF 100 CP NEGRO</t>
  </si>
  <si>
    <t>AE-043</t>
  </si>
  <si>
    <t>INTERRUPTOR DIFERENCIAL LEGRAND 25 AMP</t>
  </si>
  <si>
    <t>AE-042</t>
  </si>
  <si>
    <t>INTERRUPTOR DIFERENCIAL HAGER 63 AMP</t>
  </si>
  <si>
    <t>AE-041</t>
  </si>
  <si>
    <t>INTERRUPTOR DIFERENCIAL HAGER 40 AMP</t>
  </si>
  <si>
    <t>AE-040</t>
  </si>
  <si>
    <t>INTERRUPTOR DIFERENCIAL HAGER 25 AMP</t>
  </si>
  <si>
    <t>AE-039</t>
  </si>
  <si>
    <t>AUTOMATICOS HAGER 32 AMP CAJA 12 UNIDADES</t>
  </si>
  <si>
    <t>AE-038</t>
  </si>
  <si>
    <t>AUTOMATICOS HAGER 25 AMP CAJA 12 UNIDADES</t>
  </si>
  <si>
    <t>AE-037</t>
  </si>
  <si>
    <t>AUTOMATICOS HAGER 20 AMP CAJA 12 UNIDADES</t>
  </si>
  <si>
    <t>AE-036</t>
  </si>
  <si>
    <t>AUTOMATICOS HAGER 10 AMP CAJA 12 UNIDADES</t>
  </si>
  <si>
    <t>AE-035</t>
  </si>
  <si>
    <t>FOTOCELDAS BF 208-277 220 VOLT MAREA LIGHTING</t>
  </si>
  <si>
    <t>AE-034</t>
  </si>
  <si>
    <t>TERMINAL BRONCE ATORNILLADOS 24 MM 1 "</t>
  </si>
  <si>
    <t>AE-033</t>
  </si>
  <si>
    <t>TERMINAL BRONCE ATORNILLADOS 16 MM 1/2 "</t>
  </si>
  <si>
    <t>AE-032</t>
  </si>
  <si>
    <t>CAJAS PLASTICAS PARA FUSIBLES IDE MOD CX 8 PT</t>
  </si>
  <si>
    <t>AE-031</t>
  </si>
  <si>
    <t>CONTACTOR MERLIN GERIN 25 AMP</t>
  </si>
  <si>
    <t>AE-030</t>
  </si>
  <si>
    <t>CONTACTOR LEGRAND 40 AMP</t>
  </si>
  <si>
    <t>AE-029</t>
  </si>
  <si>
    <t>CAJA TABLERO CASA MODELO V 009A</t>
  </si>
  <si>
    <t>AE-028</t>
  </si>
  <si>
    <t>BALLAST LAMPARA HALURO PHILLIPS 400 WATTS</t>
  </si>
  <si>
    <t>AE-027</t>
  </si>
  <si>
    <t>TRANSFORMADOR LAMPARA HALURO 220 W 3 AMP</t>
  </si>
  <si>
    <t>AE-026</t>
  </si>
  <si>
    <t>FOCO MURAL HALOGENO NEGRO MODELO 9204-B</t>
  </si>
  <si>
    <t>AE-025</t>
  </si>
  <si>
    <t>FOCOS NEGROS 1000 WATTS</t>
  </si>
  <si>
    <t>AE-024</t>
  </si>
  <si>
    <t>FOCOS NEGROS 400 WATTS</t>
  </si>
  <si>
    <t>AE-023</t>
  </si>
  <si>
    <t>BALLAST 1 X 40 WATTS PHILIPS</t>
  </si>
  <si>
    <t>AE-022</t>
  </si>
  <si>
    <t>ALAMBRE BLANCO 1,5 MM ROLLOS 100MT</t>
  </si>
  <si>
    <t>AE-021</t>
  </si>
  <si>
    <t>ALAMBRE ROJO 1,5 MM ROLLOS 100 MT</t>
  </si>
  <si>
    <t>AE-020</t>
  </si>
  <si>
    <t>ALAMBRE AMARILLO 1,5 MM ROLLOS 100 MT</t>
  </si>
  <si>
    <t>AE-019</t>
  </si>
  <si>
    <t>ALAMBRE VERDE 1,5 MM ROLLOS 100 MT</t>
  </si>
  <si>
    <t>AE-018</t>
  </si>
  <si>
    <t>ALAMBRE NEGRO 2,5 MM ROLLOS DE 100 MT</t>
  </si>
  <si>
    <t>AE-017</t>
  </si>
  <si>
    <t>CABLE FLEXIBLE BLANCO"CTT" 3 X 1,5 MM</t>
  </si>
  <si>
    <t>AE-016</t>
  </si>
  <si>
    <t>ALAMBRE THAN 6 VERDE ROLLO 100 MT</t>
  </si>
  <si>
    <t>AE-015</t>
  </si>
  <si>
    <t>ALAMBRE THAN 6 NEGRO ROLLO 100 MT</t>
  </si>
  <si>
    <t>AE-014</t>
  </si>
  <si>
    <t>ALAMBRE THAN 6 BLANCO ROLLO 100 MT</t>
  </si>
  <si>
    <t>AE-013</t>
  </si>
  <si>
    <t>CABLE RIGIDO BLANCO 7 ALAMBRES</t>
  </si>
  <si>
    <t>AE-012</t>
  </si>
  <si>
    <t>CABLE RIGIDO VERDE 7 ALAMBRES</t>
  </si>
  <si>
    <t>AE-010</t>
  </si>
  <si>
    <t>CABLE RIGIDO CELESTE 7 ALAMBRES</t>
  </si>
  <si>
    <t>AE-009</t>
  </si>
  <si>
    <t>CABLE RIGIDO ROSADO 7 ALAMBRES</t>
  </si>
  <si>
    <t>AE-008</t>
  </si>
  <si>
    <t>CABLE NEGRO FLEXIBLE 3 ALAMBRES ROLLOS DIAM ?</t>
  </si>
  <si>
    <t>AE-007</t>
  </si>
  <si>
    <t>CABLE NEGRO FLEXIBLE 3 ALAMBRES ROLLOS DIAM?</t>
  </si>
  <si>
    <t>AE-006</t>
  </si>
  <si>
    <t>CABLE NEGRO RIGIDO  7 ALAMBRES ROLLOS     DIAM?</t>
  </si>
  <si>
    <t>AE-005</t>
  </si>
  <si>
    <t>CABLE NEGRO FLEXIBLE CTT 3 X 2,5 MM ROLLO 100 MT</t>
  </si>
  <si>
    <t>AE-004</t>
  </si>
  <si>
    <t>CABLE NEGRO FLEXIBLE CTT 3 X1,5 MM ROLLO 100 MT</t>
  </si>
  <si>
    <t>AE-003</t>
  </si>
  <si>
    <t>CABLE NEGRO CONCENTRICO 2X6 MM B T ROLLO 200MT</t>
  </si>
  <si>
    <t>AE-002</t>
  </si>
  <si>
    <t>RECARGO</t>
  </si>
  <si>
    <t>DESCUENTO</t>
  </si>
  <si>
    <t>P. UNITARIO</t>
  </si>
  <si>
    <t>CATEGORIA</t>
  </si>
  <si>
    <t>PRODUCTO</t>
  </si>
  <si>
    <t>CODIGO</t>
  </si>
  <si>
    <t>ALEMANIA</t>
  </si>
  <si>
    <t>CONDIMENTOS</t>
  </si>
  <si>
    <t>PLUTZER LEBENSMITTELGROßMÄRKTE AG</t>
  </si>
  <si>
    <t>SALSA VERDE ORIGINAL FRANKFURTER</t>
  </si>
  <si>
    <t>EE.UU</t>
  </si>
  <si>
    <t>BEBIDAS</t>
  </si>
  <si>
    <t>KARKKI OY</t>
  </si>
  <si>
    <t>LICOR CLOUDBERRY</t>
  </si>
  <si>
    <t>CERVEZA KLOSTERBIER RHÖNBRÄU</t>
  </si>
  <si>
    <t>PERU</t>
  </si>
  <si>
    <t>FRUTAS/VERDURAS</t>
  </si>
  <si>
    <t>TOKYO TRADERS</t>
  </si>
  <si>
    <t>QUESO DE SOJA LONGLIFE</t>
  </si>
  <si>
    <t>CHILE</t>
  </si>
  <si>
    <t>PESCADO/MARISCO</t>
  </si>
  <si>
    <t>SVENSK SJÖFÖDA AB</t>
  </si>
  <si>
    <t>CAVIAR ROJO</t>
  </si>
  <si>
    <t>CHINA</t>
  </si>
  <si>
    <t>LÁCTEOS</t>
  </si>
  <si>
    <t>FORMAGGI FORTINI S.R.L.</t>
  </si>
  <si>
    <t>QUESO MOZZARELLA GIOVANNI</t>
  </si>
  <si>
    <t>NORSKE MEIERIER</t>
  </si>
  <si>
    <t>CREMA DE QUESO FLØTEMYS</t>
  </si>
  <si>
    <t>PAVLOVA, LTD.</t>
  </si>
  <si>
    <t>CERVEZA OUTBACK</t>
  </si>
  <si>
    <t>QUESO GUDBRANDSDALS</t>
  </si>
  <si>
    <t>REPOSTERÍA</t>
  </si>
  <si>
    <t>SPECIALTY BISCUITS, LTD.</t>
  </si>
  <si>
    <t>BARRAS DE PAN DE ESCOCIA</t>
  </si>
  <si>
    <t>BIGFOOT BREWERIES</t>
  </si>
  <si>
    <t>CERVEZA LAUGHING LUMBERJACK</t>
  </si>
  <si>
    <t>NEW ORLEANS CAJUN DELIGHTS</t>
  </si>
  <si>
    <t>ESPECIAS PICANTES DE LUISIANA</t>
  </si>
  <si>
    <t>SALSA DE PIMIENTO PICANTE DE LUISIANA</t>
  </si>
  <si>
    <t>KOREA</t>
  </si>
  <si>
    <t>GRANOS/CEREALES</t>
  </si>
  <si>
    <t>BOLLOS DE PAN DE WIMMER</t>
  </si>
  <si>
    <t>SANDWICH DE VEGETALES</t>
  </si>
  <si>
    <t>FORÊTS D'ÉRABLES</t>
  </si>
  <si>
    <t>TARTA DE AZÚCAR</t>
  </si>
  <si>
    <t>SIROPE DE ARCE</t>
  </si>
  <si>
    <t>GAI PÂTURAGE</t>
  </si>
  <si>
    <t>CAMEMBERT PIERROT</t>
  </si>
  <si>
    <t>RACLET DE QUESO COURDAVAULT</t>
  </si>
  <si>
    <t>ESCARGOTS NOUVEAUX</t>
  </si>
  <si>
    <t>CARACOLES DE BORGOÑA</t>
  </si>
  <si>
    <t>PASTA BUTTINI S.R.L.</t>
  </si>
  <si>
    <t>RAVIOLIS ANGELO</t>
  </si>
  <si>
    <t>GNOCCHI DE LA ABUELA ALICIA</t>
  </si>
  <si>
    <t>CARNES</t>
  </si>
  <si>
    <t>MA MAISON</t>
  </si>
  <si>
    <t>PATÉ CHINO</t>
  </si>
  <si>
    <t>EMPANADA DE CERDO</t>
  </si>
  <si>
    <t>G'DAY, MATE</t>
  </si>
  <si>
    <t>EMPANADA DE CARNE</t>
  </si>
  <si>
    <t>CEREALES PARA FILO</t>
  </si>
  <si>
    <t>MANZANAS SECAS MANJIMUP</t>
  </si>
  <si>
    <t>CHOCOLATE BLANCO</t>
  </si>
  <si>
    <t>REGALIZ</t>
  </si>
  <si>
    <t>ZAANSE SNOEPFABRIEK</t>
  </si>
  <si>
    <t>CHOCOLATE HOLANDÉS</t>
  </si>
  <si>
    <t>GALLETAS ZAANSE</t>
  </si>
  <si>
    <t>LYNGBYSILD</t>
  </si>
  <si>
    <t>ARENQUE SALADO</t>
  </si>
  <si>
    <t>ARENQUE AHUMADO</t>
  </si>
  <si>
    <t>LEKA TRADING</t>
  </si>
  <si>
    <t>AZÚCAR NEGRA MALACCA</t>
  </si>
  <si>
    <t>CAFÉ DE MALASIA</t>
  </si>
  <si>
    <t>TALLARINES DE SINGAPUR</t>
  </si>
  <si>
    <t>NEW ENGLAND SEAFOOD CANNERY</t>
  </si>
  <si>
    <t>CREMA DE ALMEJAS ESTILO NUEVA INGLATERRA</t>
  </si>
  <si>
    <t>CARNE DE CANGREJO DE BOSTON</t>
  </si>
  <si>
    <t>AUX JOYEUX ECCLÉSIASTIQUES</t>
  </si>
  <si>
    <t>LICOR VERDE CHARTREUSE</t>
  </si>
  <si>
    <t>VINO CÔTE DE BLAYE</t>
  </si>
  <si>
    <t>SALMÓN AHUMADO GRAVAD</t>
  </si>
  <si>
    <t>ARGENTINA</t>
  </si>
  <si>
    <t>ESCABECHE DE ARENQUE</t>
  </si>
  <si>
    <t>CERVEZA NEGRA STEELEYE</t>
  </si>
  <si>
    <t>CERVEZA SASQUATCH</t>
  </si>
  <si>
    <t>QUESO DE CABRA</t>
  </si>
  <si>
    <t>QUESO MASCARPONE FABIOLI</t>
  </si>
  <si>
    <t>QUESO GORGONZOLA TELINO</t>
  </si>
  <si>
    <t>NORD-OST-FISCH HANDELSGESELLSCHAFT MBH</t>
  </si>
  <si>
    <t>ARENQUE BLANCO DEL NOROESTE</t>
  </si>
  <si>
    <t>SALCHICHA THÜRINGER</t>
  </si>
  <si>
    <t>COL FERMENTADA RÖSSLE</t>
  </si>
  <si>
    <t>HELI SÜßWAREN GMBH &amp; CO. KG</t>
  </si>
  <si>
    <t>CHOCOLATE SCHOGGI</t>
  </si>
  <si>
    <t>OSITOS DE GOMA GUMBÄR</t>
  </si>
  <si>
    <t>CREMA DE CHOCOLATE Y NUECES NUNUCA</t>
  </si>
  <si>
    <t>REFRESCOS AMERICANAS LTDA</t>
  </si>
  <si>
    <t>REFRESCO GUARANÁ FANTÁSTICA</t>
  </si>
  <si>
    <t>PB KNÄCKEBRÖD AB</t>
  </si>
  <si>
    <t>PAN FINO</t>
  </si>
  <si>
    <t>PAN DE CENTENO CRUJIENTE ESTILO GUSTAF'S</t>
  </si>
  <si>
    <t>BOLLOS DE SIR RODNEY'S</t>
  </si>
  <si>
    <t>MERMELADA DE SIR RODNEY'S</t>
  </si>
  <si>
    <t>PASTAS DE TÉ DE CHOCOLATE</t>
  </si>
  <si>
    <t>LANGOSTINOS TIGRE CARNARVON</t>
  </si>
  <si>
    <t>CORDERO ALICE SPRINGS</t>
  </si>
  <si>
    <t>POSTRE DE MERENGUE PAVLOVA</t>
  </si>
  <si>
    <t>MAYUMI'S</t>
  </si>
  <si>
    <t>SALSA DE SOJA BAJA EN SODIO</t>
  </si>
  <si>
    <t>CUAJADA DE JUDÍAS</t>
  </si>
  <si>
    <t>ALGAS KONBU</t>
  </si>
  <si>
    <t>COOPERATIVA DE QUESOS 'LAS CABRAS'</t>
  </si>
  <si>
    <t>QUESO MANCHEGO LA PASTORA</t>
  </si>
  <si>
    <t>QUESO CABRALES</t>
  </si>
  <si>
    <t>PEZ ESPADA</t>
  </si>
  <si>
    <t>BUEY MISHI KOBE</t>
  </si>
  <si>
    <t>GRANDMA KELLY'S HOMESTEAD</t>
  </si>
  <si>
    <t>SALSA DE ARÁNDANOS NORTHWOODS</t>
  </si>
  <si>
    <t>PERAS SECAS ORGÁNICAS DEL TÍO BOB</t>
  </si>
  <si>
    <t>MERMELADA DE GROSELLAS DE LA ABUELA</t>
  </si>
  <si>
    <t>MEZCLA GUMBO DEL CHEF ANTON</t>
  </si>
  <si>
    <t>ESPECIAS CAJUN DEL CHEF ANTON</t>
  </si>
  <si>
    <t>EXOTIC LIQUIDS</t>
  </si>
  <si>
    <t>SIROPE DE REGALIZ</t>
  </si>
  <si>
    <t>CERVEZA TIBETANA BARLEY</t>
  </si>
  <si>
    <t>TÉ DHARAMSALA</t>
  </si>
  <si>
    <t>US$</t>
  </si>
  <si>
    <t>Stock valor</t>
  </si>
  <si>
    <t>PRECIO $</t>
  </si>
  <si>
    <t>PRECIO US$</t>
  </si>
  <si>
    <t>STOCK</t>
  </si>
  <si>
    <t>PAIS ORIGEN</t>
  </si>
  <si>
    <t>CATEGORÍA</t>
  </si>
  <si>
    <t>PROVEEDOR</t>
  </si>
  <si>
    <t>NOMBRE DE PRODUCTO</t>
  </si>
  <si>
    <t>PROVIDA</t>
  </si>
  <si>
    <t>ALFREDO BURGOS CACERES</t>
  </si>
  <si>
    <t>PLANVITAL</t>
  </si>
  <si>
    <t>CECILIA QUIROGA RETAMAL</t>
  </si>
  <si>
    <t>HABITAT</t>
  </si>
  <si>
    <t>LISET FERNANDEZ ULLOA</t>
  </si>
  <si>
    <t>CUPRUM</t>
  </si>
  <si>
    <t>EDUARDO RIVEROS ARANEDA</t>
  </si>
  <si>
    <t>CAPITAL</t>
  </si>
  <si>
    <t>EMILIO GARRIDO TORO</t>
  </si>
  <si>
    <t>JIMENA CAROCA TORRES</t>
  </si>
  <si>
    <t>RODRIGO PRIETO LOBOS</t>
  </si>
  <si>
    <t>CARMEN DUARTE RIOS</t>
  </si>
  <si>
    <t>ROSA SOTO GONZALEZ</t>
  </si>
  <si>
    <t>JOSE VENEGAS FRIAS</t>
  </si>
  <si>
    <t>SERGIO SILVA PINEDA</t>
  </si>
  <si>
    <t>CARLOS TAPIA UGARTE</t>
  </si>
  <si>
    <t>PORC.</t>
  </si>
  <si>
    <t>NOMBRES AFP</t>
  </si>
  <si>
    <t>% AFP</t>
  </si>
  <si>
    <t>SUELDO
IMPONIBLE</t>
  </si>
  <si>
    <t>NOMBRE AFP</t>
  </si>
  <si>
    <t>NOMBRE</t>
  </si>
  <si>
    <t>Core RPO BCP</t>
  </si>
  <si>
    <t>IGV (18%)</t>
  </si>
  <si>
    <t>P. VENTA+ IGV</t>
  </si>
  <si>
    <t>Evaluación de Conocimiento en Excel</t>
  </si>
  <si>
    <t>Nombre del Consultor:</t>
  </si>
  <si>
    <t>DNI:</t>
  </si>
  <si>
    <t>minutos</t>
  </si>
  <si>
    <t>Fecha de la Evaluación:</t>
  </si>
  <si>
    <t>Duración de Evaluación:</t>
  </si>
  <si>
    <t>Base</t>
  </si>
  <si>
    <t>Evaluación</t>
  </si>
  <si>
    <t>Puntaje</t>
  </si>
  <si>
    <t>Fórmulas</t>
  </si>
  <si>
    <t>Inmovilización de Paneles</t>
  </si>
  <si>
    <t>Formato Condicional</t>
  </si>
  <si>
    <t>Filtro</t>
  </si>
  <si>
    <t>BuscarV</t>
  </si>
  <si>
    <t>Tabla Dinámica 1</t>
  </si>
  <si>
    <t>Tabla Dinámica 2</t>
  </si>
  <si>
    <t>Macros</t>
  </si>
  <si>
    <t>Macros y Formularios</t>
  </si>
  <si>
    <t>Puntaje:</t>
  </si>
  <si>
    <t>Puntaje Obtenido</t>
  </si>
  <si>
    <t>Total general</t>
  </si>
  <si>
    <t>(Todas)</t>
  </si>
  <si>
    <t>Suma de Valor</t>
  </si>
  <si>
    <t>Cuenta de Valor</t>
  </si>
  <si>
    <t xml:space="preserve">Articulo </t>
  </si>
  <si>
    <t>cantidad</t>
  </si>
  <si>
    <t>precio unitaro</t>
  </si>
  <si>
    <t>subtotal</t>
  </si>
  <si>
    <t>IGV</t>
  </si>
  <si>
    <t>TOTAL</t>
  </si>
  <si>
    <t>goma</t>
  </si>
  <si>
    <t>lapiz</t>
  </si>
  <si>
    <t>regla</t>
  </si>
  <si>
    <t>cuaderno</t>
  </si>
  <si>
    <t>---</t>
  </si>
  <si>
    <t>CUENTAS,LOPEZ</t>
  </si>
  <si>
    <t>MENDOZA,SANTOS</t>
  </si>
  <si>
    <t>VARGAS,RAMOS</t>
  </si>
  <si>
    <t>GUTIERREZ,HINOJOSA</t>
  </si>
  <si>
    <t>VILLASANTE,PAREDES</t>
  </si>
  <si>
    <t>LUIS,ENRIQUE</t>
  </si>
  <si>
    <t>MEJIA,ZUÑIGA</t>
  </si>
  <si>
    <t>ALFREDO,MARTIN</t>
  </si>
  <si>
    <t>BEJAR,RAMOS</t>
  </si>
  <si>
    <t>SOSA,FLORES</t>
  </si>
  <si>
    <t>ELIANA,OLGA</t>
  </si>
  <si>
    <t>BEIZAGA,TITO</t>
  </si>
  <si>
    <t>ABARCA,FERRERO</t>
  </si>
  <si>
    <t>MARIO,EDGAR</t>
  </si>
  <si>
    <t>IBARRA,GARATE</t>
  </si>
  <si>
    <t>RODRIGUEZ,CONCHA</t>
  </si>
  <si>
    <t>SILVIA,CECILIA</t>
  </si>
  <si>
    <t>MACEDO,GONZALES</t>
  </si>
  <si>
    <t>VALENCIA,SALAZAR</t>
  </si>
  <si>
    <t>ESPINAL,ESCARZA</t>
  </si>
  <si>
    <t>BENAVENTE,MANRIQUE</t>
  </si>
  <si>
    <t>ROSA,MARY</t>
  </si>
  <si>
    <t>MENDOZA,BERNAL</t>
  </si>
  <si>
    <t>RAMIREZ,REVOLLEDA</t>
  </si>
  <si>
    <t>WILLIANS,ELVIS</t>
  </si>
  <si>
    <t>RAMIREZ,CARREÑO</t>
  </si>
  <si>
    <t>GLADYS,FLORA</t>
  </si>
  <si>
    <t>ORDOÑEZ,LOZANO</t>
  </si>
  <si>
    <t>PEREZ,LOZANO</t>
  </si>
  <si>
    <t>MERINO,CORDOVA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</si>
</sst>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 * #,##0.00_ ;_ * \-#,##0.00_ ;_ * &quot;-&quot;??_ ;_ @_ "/>
    <numFmt numFmtId="165" formatCode="&quot;$&quot;\ #,##0;[Red]\-&quot;$&quot;\ #,##0"/>
    <numFmt numFmtId="166" formatCode="_-&quot;$&quot;\ * #,##0_-;\-&quot;$&quot;\ * #,##0_-;_-&quot;$&quot;\ * &quot;-&quot;_-;_-@_-"/>
    <numFmt numFmtId="167" formatCode="_-* #,##0.00\ [$€]_-;\-* #,##0.00\ [$€]_-;_-* &quot;-&quot;??\ [$€]_-;_-@_-"/>
    <numFmt numFmtId="168" formatCode="_ &quot;S/.&quot;\ * #,##0_ ;_ &quot;S/.&quot;\ * \-#,##0_ ;_ &quot;S/.&quot;\ * &quot;-&quot;??_ ;_ @_ "/>
    <numFmt numFmtId="169" formatCode="&quot;S/.&quot;\ #,##0"/>
    <numFmt numFmtId="170" formatCode="_ * #,##0_ ;_ * \-#,##0_ ;_ * &quot;-&quot;??_ ;_ @_ "/>
  </numFmts>
  <fonts count="4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color indexed="23"/>
      <name val="Calibri"/>
      <family val="2"/>
    </font>
    <font>
      <b/>
      <sz val="10"/>
      <color indexed="23"/>
      <name val="Calibri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8"/>
      <name val="MS Sans Serif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9"/>
      <name val="Calibri"/>
      <family val="2"/>
      <scheme val="minor"/>
    </font>
    <font>
      <i/>
      <sz val="11"/>
      <color theme="9"/>
      <name val="Calibri"/>
      <family val="2"/>
      <scheme val="minor"/>
    </font>
    <font>
      <sz val="12"/>
      <color theme="0"/>
      <name val="Arial"/>
      <family val="2"/>
    </font>
    <font>
      <sz val="11"/>
      <color theme="9"/>
      <name val="Calibri"/>
      <family val="2"/>
      <scheme val="minor"/>
    </font>
    <font>
      <sz val="12"/>
      <color theme="9"/>
      <name val="Calibri"/>
      <family val="2"/>
      <scheme val="minor"/>
    </font>
    <font>
      <sz val="10"/>
      <color theme="9"/>
      <name val="Calibri"/>
      <family val="2"/>
      <scheme val="minor"/>
    </font>
    <font>
      <sz val="9"/>
      <color theme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Arial"/>
      <family val="2"/>
    </font>
    <font>
      <b/>
      <sz val="18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A50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6337778862885"/>
      </left>
      <right/>
      <top style="thin">
        <color theme="9" tint="0.59996337778862885"/>
      </top>
      <bottom/>
      <diagonal/>
    </border>
    <border>
      <left/>
      <right/>
      <top style="thin">
        <color theme="9" tint="0.59996337778862885"/>
      </top>
      <bottom/>
      <diagonal/>
    </border>
    <border>
      <left/>
      <right style="thin">
        <color theme="9" tint="0.59996337778862885"/>
      </right>
      <top style="thin">
        <color theme="9" tint="0.59996337778862885"/>
      </top>
      <bottom/>
      <diagonal/>
    </border>
    <border>
      <left style="thin">
        <color theme="9" tint="0.59996337778862885"/>
      </left>
      <right/>
      <top/>
      <bottom/>
      <diagonal/>
    </border>
    <border>
      <left/>
      <right style="thin">
        <color theme="9" tint="0.59996337778862885"/>
      </right>
      <top/>
      <bottom/>
      <diagonal/>
    </border>
    <border>
      <left style="thin">
        <color theme="9" tint="0.59996337778862885"/>
      </left>
      <right/>
      <top/>
      <bottom style="thin">
        <color theme="9" tint="0.59996337778862885"/>
      </bottom>
      <diagonal/>
    </border>
    <border>
      <left/>
      <right/>
      <top/>
      <bottom style="thin">
        <color theme="9" tint="0.59996337778862885"/>
      </bottom>
      <diagonal/>
    </border>
    <border>
      <left/>
      <right style="thin">
        <color theme="9" tint="0.59996337778862885"/>
      </right>
      <top/>
      <bottom style="thin">
        <color theme="9" tint="0.59996337778862885"/>
      </bottom>
      <diagonal/>
    </border>
    <border>
      <left style="thin">
        <color theme="0"/>
      </left>
      <right/>
      <top/>
      <bottom/>
      <diagonal/>
    </border>
    <border>
      <left style="thin">
        <color theme="9" tint="0.79998168889431442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5117038483843"/>
      </left>
      <right style="thin">
        <color theme="9" tint="0.79995117038483843"/>
      </right>
      <top/>
      <bottom style="thin">
        <color theme="9" tint="0.7999511703848384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/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theme="9" tint="0.79998168889431442"/>
      </left>
      <right style="thin">
        <color theme="9" tint="0.79998168889431442"/>
      </right>
      <top/>
      <bottom/>
      <diagonal/>
    </border>
    <border>
      <left style="thin">
        <color theme="9" tint="0.79998168889431442"/>
      </left>
      <right style="thin">
        <color theme="9" tint="0.79998168889431442"/>
      </right>
      <top/>
      <bottom style="thin">
        <color theme="9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">
    <xf numFmtId="0" fontId="0" fillId="0" borderId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164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11" fillId="0" borderId="0"/>
    <xf numFmtId="0" fontId="11" fillId="0" borderId="0"/>
    <xf numFmtId="0" fontId="3" fillId="0" borderId="0"/>
    <xf numFmtId="0" fontId="2" fillId="0" borderId="0"/>
    <xf numFmtId="0" fontId="2" fillId="0" borderId="0"/>
    <xf numFmtId="0" fontId="10" fillId="0" borderId="0"/>
    <xf numFmtId="0" fontId="2" fillId="0" borderId="0"/>
    <xf numFmtId="9" fontId="1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53">
    <xf numFmtId="0" fontId="0" fillId="0" borderId="0" xfId="0"/>
    <xf numFmtId="0" fontId="2" fillId="0" borderId="0" xfId="13"/>
    <xf numFmtId="0" fontId="14" fillId="0" borderId="0" xfId="13" applyFont="1"/>
    <xf numFmtId="0" fontId="3" fillId="0" borderId="0" xfId="13" applyFont="1"/>
    <xf numFmtId="0" fontId="15" fillId="0" borderId="0" xfId="0" applyFont="1"/>
    <xf numFmtId="0" fontId="16" fillId="0" borderId="0" xfId="0" applyFont="1"/>
    <xf numFmtId="0" fontId="17" fillId="2" borderId="11" xfId="13" applyFont="1" applyFill="1" applyBorder="1" applyAlignment="1">
      <alignment horizontal="center"/>
    </xf>
    <xf numFmtId="0" fontId="18" fillId="0" borderId="11" xfId="13" applyFont="1" applyBorder="1"/>
    <xf numFmtId="0" fontId="19" fillId="0" borderId="11" xfId="13" applyFont="1" applyBorder="1"/>
    <xf numFmtId="166" fontId="19" fillId="0" borderId="11" xfId="13" applyNumberFormat="1" applyFont="1" applyBorder="1"/>
    <xf numFmtId="0" fontId="18" fillId="0" borderId="0" xfId="0" applyFont="1"/>
    <xf numFmtId="0" fontId="21" fillId="0" borderId="0" xfId="0" applyFont="1"/>
    <xf numFmtId="0" fontId="22" fillId="3" borderId="10" xfId="0" applyFont="1" applyFill="1" applyBorder="1" applyAlignment="1">
      <alignment horizontal="center" vertical="center"/>
    </xf>
    <xf numFmtId="2" fontId="22" fillId="3" borderId="10" xfId="0" applyNumberFormat="1" applyFont="1" applyFill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2" fontId="23" fillId="0" borderId="5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4" fillId="0" borderId="0" xfId="0" applyFont="1"/>
    <xf numFmtId="0" fontId="25" fillId="0" borderId="0" xfId="0" applyFont="1"/>
    <xf numFmtId="0" fontId="7" fillId="0" borderId="0" xfId="13" applyFont="1"/>
    <xf numFmtId="0" fontId="7" fillId="0" borderId="0" xfId="13" applyFont="1" applyAlignment="1">
      <alignment horizontal="center"/>
    </xf>
    <xf numFmtId="0" fontId="20" fillId="0" borderId="11" xfId="13" applyFont="1" applyBorder="1" applyAlignment="1">
      <alignment horizontal="center"/>
    </xf>
    <xf numFmtId="0" fontId="20" fillId="0" borderId="11" xfId="13" applyFont="1" applyBorder="1"/>
    <xf numFmtId="0" fontId="26" fillId="2" borderId="11" xfId="20" applyFont="1" applyFill="1" applyBorder="1" applyAlignment="1">
      <alignment horizontal="center" vertical="center" wrapText="1"/>
    </xf>
    <xf numFmtId="0" fontId="2" fillId="0" borderId="0" xfId="20"/>
    <xf numFmtId="0" fontId="20" fillId="0" borderId="11" xfId="20" applyFont="1" applyBorder="1"/>
    <xf numFmtId="0" fontId="8" fillId="0" borderId="0" xfId="20" applyFont="1" applyAlignment="1">
      <alignment horizontal="center"/>
    </xf>
    <xf numFmtId="0" fontId="9" fillId="0" borderId="0" xfId="20" applyFont="1"/>
    <xf numFmtId="0" fontId="14" fillId="0" borderId="0" xfId="20" applyFont="1"/>
    <xf numFmtId="0" fontId="3" fillId="0" borderId="0" xfId="16"/>
    <xf numFmtId="165" fontId="9" fillId="4" borderId="0" xfId="16" applyNumberFormat="1" applyFont="1" applyFill="1"/>
    <xf numFmtId="0" fontId="9" fillId="0" borderId="0" xfId="16" applyFont="1" applyAlignment="1">
      <alignment horizontal="right"/>
    </xf>
    <xf numFmtId="0" fontId="17" fillId="0" borderId="0" xfId="16" applyFont="1"/>
    <xf numFmtId="10" fontId="2" fillId="0" borderId="12" xfId="21" applyNumberFormat="1" applyFont="1" applyBorder="1"/>
    <xf numFmtId="0" fontId="11" fillId="0" borderId="12" xfId="13" applyFont="1" applyBorder="1"/>
    <xf numFmtId="0" fontId="8" fillId="0" borderId="12" xfId="13" applyFont="1" applyBorder="1" applyAlignment="1">
      <alignment horizontal="center" vertical="center" wrapText="1"/>
    </xf>
    <xf numFmtId="0" fontId="27" fillId="2" borderId="11" xfId="13" applyFont="1" applyFill="1" applyBorder="1" applyAlignment="1">
      <alignment horizontal="center" vertical="center" wrapText="1"/>
    </xf>
    <xf numFmtId="0" fontId="28" fillId="0" borderId="0" xfId="18" applyFont="1"/>
    <xf numFmtId="0" fontId="28" fillId="0" borderId="13" xfId="18" applyFont="1" applyBorder="1"/>
    <xf numFmtId="0" fontId="29" fillId="0" borderId="0" xfId="18" applyFont="1"/>
    <xf numFmtId="168" fontId="20" fillId="0" borderId="11" xfId="13" applyNumberFormat="1" applyFont="1" applyBorder="1"/>
    <xf numFmtId="168" fontId="20" fillId="0" borderId="11" xfId="20" applyNumberFormat="1" applyFont="1" applyBorder="1"/>
    <xf numFmtId="0" fontId="18" fillId="0" borderId="11" xfId="19" applyFont="1" applyBorder="1" applyAlignment="1">
      <alignment horizontal="left"/>
    </xf>
    <xf numFmtId="2" fontId="18" fillId="0" borderId="11" xfId="19" applyNumberFormat="1" applyFont="1" applyBorder="1" applyAlignment="1">
      <alignment horizontal="right"/>
    </xf>
    <xf numFmtId="169" fontId="20" fillId="0" borderId="11" xfId="13" applyNumberFormat="1" applyFont="1" applyBorder="1"/>
    <xf numFmtId="169" fontId="18" fillId="0" borderId="11" xfId="13" applyNumberFormat="1" applyFont="1" applyBorder="1"/>
    <xf numFmtId="0" fontId="0" fillId="5" borderId="0" xfId="0" applyFill="1" applyAlignment="1" applyProtection="1">
      <alignment horizontal="center"/>
      <protection locked="0"/>
    </xf>
    <xf numFmtId="0" fontId="20" fillId="0" borderId="0" xfId="0" applyFont="1" applyAlignment="1">
      <alignment horizontal="center" vertical="center"/>
    </xf>
    <xf numFmtId="0" fontId="13" fillId="0" borderId="14" xfId="0" applyFont="1" applyBorder="1" applyAlignment="1">
      <alignment horizontal="left" indent="1"/>
    </xf>
    <xf numFmtId="0" fontId="0" fillId="0" borderId="15" xfId="0" applyBorder="1"/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horizontal="left" indent="2"/>
    </xf>
    <xf numFmtId="0" fontId="0" fillId="0" borderId="18" xfId="0" applyBorder="1"/>
    <xf numFmtId="0" fontId="13" fillId="0" borderId="17" xfId="0" applyFont="1" applyBorder="1" applyAlignment="1">
      <alignment horizontal="left" indent="1"/>
    </xf>
    <xf numFmtId="0" fontId="0" fillId="0" borderId="19" xfId="0" applyBorder="1"/>
    <xf numFmtId="0" fontId="0" fillId="0" borderId="20" xfId="0" applyBorder="1"/>
    <xf numFmtId="0" fontId="0" fillId="0" borderId="20" xfId="0" applyBorder="1" applyAlignment="1">
      <alignment horizontal="center" vertical="center"/>
    </xf>
    <xf numFmtId="0" fontId="0" fillId="0" borderId="21" xfId="0" applyBorder="1"/>
    <xf numFmtId="0" fontId="30" fillId="0" borderId="0" xfId="0" applyFont="1"/>
    <xf numFmtId="10" fontId="20" fillId="0" borderId="11" xfId="21" applyNumberFormat="1" applyFont="1" applyBorder="1"/>
    <xf numFmtId="0" fontId="18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22" xfId="0" applyBorder="1" applyAlignment="1">
      <alignment horizontal="center" wrapText="1"/>
    </xf>
    <xf numFmtId="0" fontId="13" fillId="0" borderId="23" xfId="0" applyFont="1" applyBorder="1" applyAlignment="1">
      <alignment horizontal="center" vertical="center" wrapText="1"/>
    </xf>
    <xf numFmtId="0" fontId="0" fillId="0" borderId="24" xfId="0" applyBorder="1"/>
    <xf numFmtId="0" fontId="0" fillId="0" borderId="25" xfId="0" applyBorder="1"/>
    <xf numFmtId="0" fontId="31" fillId="0" borderId="0" xfId="0" applyFont="1" applyAlignment="1">
      <alignment horizontal="left" vertical="top"/>
    </xf>
    <xf numFmtId="0" fontId="32" fillId="0" borderId="0" xfId="0" applyFont="1" applyAlignment="1">
      <alignment vertical="center"/>
    </xf>
    <xf numFmtId="0" fontId="33" fillId="0" borderId="0" xfId="0" applyFont="1"/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170" fontId="3" fillId="0" borderId="0" xfId="5" applyNumberFormat="1" applyFont="1"/>
    <xf numFmtId="170" fontId="18" fillId="0" borderId="11" xfId="5" applyNumberFormat="1" applyFont="1" applyBorder="1" applyAlignment="1"/>
    <xf numFmtId="170" fontId="18" fillId="0" borderId="11" xfId="5" applyNumberFormat="1" applyFont="1" applyFill="1" applyBorder="1" applyAlignment="1">
      <alignment horizontal="right"/>
    </xf>
    <xf numFmtId="0" fontId="30" fillId="5" borderId="26" xfId="0" applyFont="1" applyFill="1" applyBorder="1"/>
    <xf numFmtId="0" fontId="18" fillId="5" borderId="27" xfId="0" applyFont="1" applyFill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38" fillId="6" borderId="28" xfId="0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2" xfId="0" pivotButton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pivotButton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166" fontId="0" fillId="0" borderId="39" xfId="0" applyNumberFormat="1" applyBorder="1"/>
    <xf numFmtId="166" fontId="0" fillId="0" borderId="38" xfId="0" applyNumberFormat="1" applyBorder="1"/>
    <xf numFmtId="166" fontId="0" fillId="0" borderId="40" xfId="0" applyNumberFormat="1" applyBorder="1"/>
    <xf numFmtId="166" fontId="0" fillId="0" borderId="32" xfId="0" applyNumberFormat="1" applyBorder="1"/>
    <xf numFmtId="166" fontId="0" fillId="0" borderId="37" xfId="0" applyNumberFormat="1" applyBorder="1"/>
    <xf numFmtId="166" fontId="0" fillId="0" borderId="35" xfId="0" applyNumberFormat="1" applyBorder="1"/>
    <xf numFmtId="166" fontId="0" fillId="0" borderId="0" xfId="0" applyNumberFormat="1"/>
    <xf numFmtId="166" fontId="0" fillId="0" borderId="36" xfId="0" applyNumberFormat="1" applyBorder="1"/>
    <xf numFmtId="166" fontId="0" fillId="0" borderId="41" xfId="0" applyNumberFormat="1" applyBorder="1"/>
    <xf numFmtId="0" fontId="18" fillId="0" borderId="42" xfId="19" applyFont="1" applyBorder="1" applyAlignment="1">
      <alignment horizontal="right"/>
    </xf>
    <xf numFmtId="170" fontId="18" fillId="0" borderId="43" xfId="5" applyNumberFormat="1" applyFont="1" applyBorder="1"/>
    <xf numFmtId="0" fontId="27" fillId="2" borderId="44" xfId="19" applyFont="1" applyFill="1" applyBorder="1" applyAlignment="1">
      <alignment horizontal="center"/>
    </xf>
    <xf numFmtId="0" fontId="27" fillId="2" borderId="45" xfId="19" applyFont="1" applyFill="1" applyBorder="1" applyAlignment="1">
      <alignment horizontal="center"/>
    </xf>
    <xf numFmtId="170" fontId="27" fillId="2" borderId="45" xfId="5" applyNumberFormat="1" applyFont="1" applyFill="1" applyBorder="1" applyAlignment="1">
      <alignment horizontal="center"/>
    </xf>
    <xf numFmtId="170" fontId="37" fillId="2" borderId="46" xfId="5" applyNumberFormat="1" applyFont="1" applyFill="1" applyBorder="1"/>
    <xf numFmtId="0" fontId="18" fillId="0" borderId="47" xfId="19" applyFont="1" applyBorder="1" applyAlignment="1">
      <alignment horizontal="right"/>
    </xf>
    <xf numFmtId="0" fontId="18" fillId="0" borderId="48" xfId="19" applyFont="1" applyBorder="1" applyAlignment="1">
      <alignment horizontal="left"/>
    </xf>
    <xf numFmtId="170" fontId="18" fillId="0" borderId="48" xfId="5" applyNumberFormat="1" applyFont="1" applyFill="1" applyBorder="1" applyAlignment="1">
      <alignment horizontal="right"/>
    </xf>
    <xf numFmtId="2" fontId="18" fillId="0" borderId="48" xfId="19" applyNumberFormat="1" applyFont="1" applyBorder="1" applyAlignment="1">
      <alignment horizontal="right"/>
    </xf>
    <xf numFmtId="170" fontId="18" fillId="0" borderId="48" xfId="5" applyNumberFormat="1" applyFont="1" applyBorder="1" applyAlignment="1"/>
    <xf numFmtId="170" fontId="18" fillId="0" borderId="49" xfId="5" applyNumberFormat="1" applyFont="1" applyBorder="1"/>
    <xf numFmtId="0" fontId="28" fillId="0" borderId="50" xfId="18" applyFont="1" applyBorder="1"/>
    <xf numFmtId="0" fontId="20" fillId="0" borderId="5" xfId="0" quotePrefix="1" applyFont="1" applyBorder="1" applyAlignment="1">
      <alignment horizontal="center"/>
    </xf>
    <xf numFmtId="49" fontId="20" fillId="0" borderId="5" xfId="0" applyNumberFormat="1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49" fontId="20" fillId="0" borderId="5" xfId="0" quotePrefix="1" applyNumberFormat="1" applyFont="1" applyBorder="1" applyAlignment="1">
      <alignment horizontal="center"/>
    </xf>
    <xf numFmtId="0" fontId="20" fillId="0" borderId="5" xfId="0" applyFont="1" applyBorder="1"/>
    <xf numFmtId="0" fontId="20" fillId="0" borderId="4" xfId="0" applyFont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49" fontId="12" fillId="3" borderId="2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/>
    </xf>
    <xf numFmtId="0" fontId="20" fillId="7" borderId="5" xfId="0" applyFont="1" applyFill="1" applyBorder="1"/>
    <xf numFmtId="49" fontId="20" fillId="7" borderId="5" xfId="0" quotePrefix="1" applyNumberFormat="1" applyFont="1" applyFill="1" applyBorder="1" applyAlignment="1">
      <alignment horizontal="center"/>
    </xf>
    <xf numFmtId="0" fontId="20" fillId="7" borderId="5" xfId="0" applyFont="1" applyFill="1" applyBorder="1" applyAlignment="1">
      <alignment horizontal="center"/>
    </xf>
    <xf numFmtId="0" fontId="20" fillId="7" borderId="6" xfId="0" applyFont="1" applyFill="1" applyBorder="1" applyAlignment="1">
      <alignment horizontal="center"/>
    </xf>
    <xf numFmtId="49" fontId="20" fillId="7" borderId="5" xfId="0" applyNumberFormat="1" applyFont="1" applyFill="1" applyBorder="1" applyAlignment="1">
      <alignment horizontal="center"/>
    </xf>
    <xf numFmtId="0" fontId="20" fillId="7" borderId="5" xfId="0" quotePrefix="1" applyFont="1" applyFill="1" applyBorder="1" applyAlignment="1">
      <alignment horizontal="center"/>
    </xf>
    <xf numFmtId="0" fontId="20" fillId="7" borderId="7" xfId="0" applyFont="1" applyFill="1" applyBorder="1" applyAlignment="1">
      <alignment horizontal="center"/>
    </xf>
    <xf numFmtId="0" fontId="20" fillId="7" borderId="8" xfId="0" applyFont="1" applyFill="1" applyBorder="1"/>
    <xf numFmtId="49" fontId="20" fillId="7" borderId="8" xfId="0" quotePrefix="1" applyNumberFormat="1" applyFont="1" applyFill="1" applyBorder="1" applyAlignment="1">
      <alignment horizontal="center"/>
    </xf>
    <xf numFmtId="0" fontId="20" fillId="7" borderId="8" xfId="0" applyFont="1" applyFill="1" applyBorder="1" applyAlignment="1">
      <alignment horizontal="center"/>
    </xf>
    <xf numFmtId="0" fontId="20" fillId="7" borderId="9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14" fontId="0" fillId="0" borderId="23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39" fillId="0" borderId="23" xfId="0" applyFont="1" applyBorder="1" applyAlignment="1">
      <alignment horizontal="center"/>
    </xf>
    <xf numFmtId="0" fontId="39" fillId="0" borderId="24" xfId="0" applyFont="1" applyBorder="1" applyAlignment="1">
      <alignment horizontal="center"/>
    </xf>
    <xf numFmtId="0" fontId="32" fillId="0" borderId="28" xfId="0" applyFont="1" applyBorder="1" applyAlignment="1">
      <alignment horizontal="center" vertical="center"/>
    </xf>
    <xf numFmtId="0" fontId="32" fillId="0" borderId="30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38" fillId="6" borderId="29" xfId="0" applyFont="1" applyFill="1" applyBorder="1" applyAlignment="1">
      <alignment horizontal="center" vertical="center" wrapText="1"/>
    </xf>
    <xf numFmtId="0" fontId="39" fillId="0" borderId="29" xfId="0" applyFont="1" applyBorder="1" applyAlignment="1">
      <alignment horizontal="center"/>
    </xf>
  </cellXfs>
  <cellStyles count="26">
    <cellStyle name="Euro" xfId="1" xr:uid="{7EB51438-CFAB-4FD7-96A7-9C0A85D6D7DD}"/>
    <cellStyle name="Euro 2" xfId="2" xr:uid="{9468F62F-8D31-402C-8883-9BD7A5820564}"/>
    <cellStyle name="Euro 3" xfId="3" xr:uid="{34749D32-122A-447D-BCB8-06662E4B99FC}"/>
    <cellStyle name="Hipervínculo 2" xfId="4" xr:uid="{77271359-7699-4DB8-A1EE-A31CBB074F3C}"/>
    <cellStyle name="Millares" xfId="5" builtinId="3"/>
    <cellStyle name="Millares [0] 2" xfId="6" xr:uid="{05223AE9-6EC0-4D40-8A04-4BF5926D883B}"/>
    <cellStyle name="Millares [0] 2 2" xfId="23" xr:uid="{8231939D-6883-43EC-A399-33EFE788A8A5}"/>
    <cellStyle name="Millares [0] 3" xfId="7" xr:uid="{C0E723F7-547E-4CEF-A6D1-B973B419C99B}"/>
    <cellStyle name="Millares [0] 3 2" xfId="24" xr:uid="{CDBB28C0-97CB-4777-9FD3-D6E9EECF3BBC}"/>
    <cellStyle name="Millares 2" xfId="8" xr:uid="{1DCE52F0-D207-42AB-A1DF-9EFC735218CE}"/>
    <cellStyle name="Millares 2 2" xfId="25" xr:uid="{8767B2D1-01AF-4539-A547-41CEF3918083}"/>
    <cellStyle name="Moneda [0] 2" xfId="9" xr:uid="{88D0898E-B1E8-4BEE-88D1-75758BD7B8C2}"/>
    <cellStyle name="Moneda [0] 3" xfId="10" xr:uid="{AD7D93A0-440F-4813-83EF-512A615E92F9}"/>
    <cellStyle name="Moneda [0] 4" xfId="11" xr:uid="{6EEBEA2E-0AE9-4357-86BE-6EC24DC274A7}"/>
    <cellStyle name="Moneda [0] 5" xfId="12" xr:uid="{011BA1ED-4F5C-45A5-97D7-96E0935407E1}"/>
    <cellStyle name="Normal" xfId="0" builtinId="0"/>
    <cellStyle name="Normal 2" xfId="13" xr:uid="{9A50176D-DAF1-42E2-9E11-58B204FE796D}"/>
    <cellStyle name="Normal 2 2" xfId="14" xr:uid="{CF08E4B9-95F8-4FF1-AF4C-58641609E693}"/>
    <cellStyle name="Normal 3" xfId="15" xr:uid="{29E91246-497B-4DFA-9841-FEF73FDF7990}"/>
    <cellStyle name="Normal 4" xfId="16" xr:uid="{383BFBBE-A641-4926-B0B6-B7664724ECE7}"/>
    <cellStyle name="Normal 5" xfId="17" xr:uid="{48538C73-F7EF-446A-8B3D-CC660C833328}"/>
    <cellStyle name="Normal_formulas" xfId="18" xr:uid="{9521B596-33FC-41BE-9B1A-53B1EAE064DF}"/>
    <cellStyle name="Normal_Hoja1" xfId="19" xr:uid="{18C5C0EE-A3B0-4470-BD10-C1F0C4848B2F}"/>
    <cellStyle name="Normal_Practica Filtro" xfId="20" xr:uid="{CB5A76DC-DE75-4B19-AB8D-C12853C0CEAE}"/>
    <cellStyle name="Porcentaje" xfId="21" builtinId="5"/>
    <cellStyle name="Porcentual 2" xfId="22" xr:uid="{34BB07B8-153C-4930-ADB2-29A73405E752}"/>
  </cellStyles>
  <dxfs count="30"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70" formatCode="_ * #,##0_ ;_ * \-#,##0_ ;_ * &quot;-&quot;??_ ;_ @_ 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70" formatCode="_ * #,##0_ ;_ * \-#,##0_ ;_ * &quot;-&quot;??_ ;_ @_ "/>
      <alignment horizontal="general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70" formatCode="_ * #,##0_ ;_ * \-#,##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theme="0" tint="-0.14996795556505021"/>
        </top>
      </border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 outline="0">
        <bottom style="thin">
          <color theme="0" tint="-0.14996795556505021"/>
        </bottom>
      </border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</xdr:colOff>
      <xdr:row>0</xdr:row>
      <xdr:rowOff>99060</xdr:rowOff>
    </xdr:from>
    <xdr:to>
      <xdr:col>1</xdr:col>
      <xdr:colOff>480060</xdr:colOff>
      <xdr:row>3</xdr:row>
      <xdr:rowOff>60960</xdr:rowOff>
    </xdr:to>
    <xdr:pic>
      <xdr:nvPicPr>
        <xdr:cNvPr id="11343" name="Imagen 4">
          <a:extLst>
            <a:ext uri="{FF2B5EF4-FFF2-40B4-BE49-F238E27FC236}">
              <a16:creationId xmlns:a16="http://schemas.microsoft.com/office/drawing/2014/main" id="{4583CA13-3F74-1C2D-6EAA-2A814BCF7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" y="99060"/>
          <a:ext cx="1135380" cy="6248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5</xdr:row>
          <xdr:rowOff>175260</xdr:rowOff>
        </xdr:from>
        <xdr:to>
          <xdr:col>3</xdr:col>
          <xdr:colOff>304800</xdr:colOff>
          <xdr:row>6</xdr:row>
          <xdr:rowOff>228600</xdr:rowOff>
        </xdr:to>
        <xdr:sp macro="" textlink="">
          <xdr:nvSpPr>
            <xdr:cNvPr id="11268" name="Fórmula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7</xdr:row>
          <xdr:rowOff>220980</xdr:rowOff>
        </xdr:from>
        <xdr:to>
          <xdr:col>3</xdr:col>
          <xdr:colOff>617220</xdr:colOff>
          <xdr:row>8</xdr:row>
          <xdr:rowOff>213360</xdr:rowOff>
        </xdr:to>
        <xdr:sp macro="" textlink="">
          <xdr:nvSpPr>
            <xdr:cNvPr id="11270" name="FormatoCondicional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6</xdr:row>
          <xdr:rowOff>228600</xdr:rowOff>
        </xdr:from>
        <xdr:to>
          <xdr:col>3</xdr:col>
          <xdr:colOff>929640</xdr:colOff>
          <xdr:row>7</xdr:row>
          <xdr:rowOff>213360</xdr:rowOff>
        </xdr:to>
        <xdr:sp macro="" textlink="">
          <xdr:nvSpPr>
            <xdr:cNvPr id="11271" name="Paneles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10</xdr:row>
          <xdr:rowOff>30480</xdr:rowOff>
        </xdr:from>
        <xdr:to>
          <xdr:col>3</xdr:col>
          <xdr:colOff>952500</xdr:colOff>
          <xdr:row>11</xdr:row>
          <xdr:rowOff>0</xdr:rowOff>
        </xdr:to>
        <xdr:sp macro="" textlink="">
          <xdr:nvSpPr>
            <xdr:cNvPr id="11273" name="Filtro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10</xdr:row>
          <xdr:rowOff>220980</xdr:rowOff>
        </xdr:from>
        <xdr:to>
          <xdr:col>3</xdr:col>
          <xdr:colOff>952500</xdr:colOff>
          <xdr:row>11</xdr:row>
          <xdr:rowOff>213360</xdr:rowOff>
        </xdr:to>
        <xdr:sp macro="" textlink="">
          <xdr:nvSpPr>
            <xdr:cNvPr id="11274" name="BuscarV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11</xdr:row>
          <xdr:rowOff>198120</xdr:rowOff>
        </xdr:from>
        <xdr:to>
          <xdr:col>3</xdr:col>
          <xdr:colOff>952500</xdr:colOff>
          <xdr:row>12</xdr:row>
          <xdr:rowOff>190500</xdr:rowOff>
        </xdr:to>
        <xdr:sp macro="" textlink="">
          <xdr:nvSpPr>
            <xdr:cNvPr id="11275" name="Tabla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13</xdr:row>
          <xdr:rowOff>220980</xdr:rowOff>
        </xdr:from>
        <xdr:to>
          <xdr:col>3</xdr:col>
          <xdr:colOff>952500</xdr:colOff>
          <xdr:row>15</xdr:row>
          <xdr:rowOff>22860</xdr:rowOff>
        </xdr:to>
        <xdr:sp macro="" textlink="">
          <xdr:nvSpPr>
            <xdr:cNvPr id="11276" name="Tabla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15</xdr:row>
          <xdr:rowOff>22860</xdr:rowOff>
        </xdr:from>
        <xdr:to>
          <xdr:col>3</xdr:col>
          <xdr:colOff>952500</xdr:colOff>
          <xdr:row>16</xdr:row>
          <xdr:rowOff>22860</xdr:rowOff>
        </xdr:to>
        <xdr:sp macro="" textlink="">
          <xdr:nvSpPr>
            <xdr:cNvPr id="11277" name="Macro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15</xdr:row>
          <xdr:rowOff>213360</xdr:rowOff>
        </xdr:from>
        <xdr:to>
          <xdr:col>3</xdr:col>
          <xdr:colOff>952500</xdr:colOff>
          <xdr:row>16</xdr:row>
          <xdr:rowOff>175260</xdr:rowOff>
        </xdr:to>
        <xdr:sp macro="" textlink="">
          <xdr:nvSpPr>
            <xdr:cNvPr id="11278" name="Macro2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495300</xdr:colOff>
      <xdr:row>4</xdr:row>
      <xdr:rowOff>76200</xdr:rowOff>
    </xdr:from>
    <xdr:to>
      <xdr:col>11</xdr:col>
      <xdr:colOff>7620</xdr:colOff>
      <xdr:row>4</xdr:row>
      <xdr:rowOff>426720</xdr:rowOff>
    </xdr:to>
    <xdr:grpSp>
      <xdr:nvGrpSpPr>
        <xdr:cNvPr id="11344" name="Grupo 18">
          <a:extLst>
            <a:ext uri="{FF2B5EF4-FFF2-40B4-BE49-F238E27FC236}">
              <a16:creationId xmlns:a16="http://schemas.microsoft.com/office/drawing/2014/main" id="{3CD52C56-F4DC-3D50-15F2-0074E1EEF9BB}"/>
            </a:ext>
          </a:extLst>
        </xdr:cNvPr>
        <xdr:cNvGrpSpPr>
          <a:grpSpLocks/>
        </xdr:cNvGrpSpPr>
      </xdr:nvGrpSpPr>
      <xdr:grpSpPr bwMode="auto">
        <a:xfrm>
          <a:off x="1292290" y="918547"/>
          <a:ext cx="8115948" cy="349250"/>
          <a:chOff x="588869" y="1270746"/>
          <a:chExt cx="9619130" cy="352425"/>
        </a:xfrm>
      </xdr:grpSpPr>
      <xdr:sp macro="" textlink="">
        <xdr:nvSpPr>
          <xdr:cNvPr id="20" name="Round Same Side Corner Rectangle 27">
            <a:extLst>
              <a:ext uri="{FF2B5EF4-FFF2-40B4-BE49-F238E27FC236}">
                <a16:creationId xmlns:a16="http://schemas.microsoft.com/office/drawing/2014/main" id="{E1A112C9-C7C8-1CCF-7B98-A22CC15E9727}"/>
              </a:ext>
            </a:extLst>
          </xdr:cNvPr>
          <xdr:cNvSpPr/>
        </xdr:nvSpPr>
        <xdr:spPr>
          <a:xfrm flipV="1">
            <a:off x="597927" y="1270746"/>
            <a:ext cx="9610072" cy="352425"/>
          </a:xfrm>
          <a:prstGeom prst="round2SameRect">
            <a:avLst/>
          </a:prstGeom>
          <a:solidFill>
            <a:srgbClr val="366092"/>
          </a:solidFill>
          <a:ln w="6350" cap="flat" cmpd="sng" algn="ctr">
            <a:noFill/>
            <a:prstDash val="solid"/>
            <a:miter lim="800000"/>
          </a:ln>
          <a:effectLst/>
        </xdr:spPr>
        <xdr:txBody>
          <a:bodyPr wrap="square" rtlCol="0" anchor="ctr"/>
          <a:lstStyle/>
          <a:p>
            <a:endParaRPr lang="en-GB"/>
          </a:p>
        </xdr:txBody>
      </xdr:sp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5580FFB3-5CA3-EBD3-FE4B-E2A774A58043}"/>
              </a:ext>
            </a:extLst>
          </xdr:cNvPr>
          <xdr:cNvSpPr txBox="1"/>
        </xdr:nvSpPr>
        <xdr:spPr>
          <a:xfrm>
            <a:off x="588869" y="1278407"/>
            <a:ext cx="6476156" cy="337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PE" sz="14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 "/>
                <a:ea typeface="+mn-ea"/>
                <a:cs typeface="+mn-cs"/>
              </a:rPr>
              <a:t>Seleccione las preguntas para la evaluación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7620</xdr:rowOff>
    </xdr:from>
    <xdr:to>
      <xdr:col>13</xdr:col>
      <xdr:colOff>655320</xdr:colOff>
      <xdr:row>4</xdr:row>
      <xdr:rowOff>60960</xdr:rowOff>
    </xdr:to>
    <xdr:grpSp>
      <xdr:nvGrpSpPr>
        <xdr:cNvPr id="12401" name="Grupo 3">
          <a:extLst>
            <a:ext uri="{FF2B5EF4-FFF2-40B4-BE49-F238E27FC236}">
              <a16:creationId xmlns:a16="http://schemas.microsoft.com/office/drawing/2014/main" id="{53342EE8-1B84-2404-DB2C-FA2FFB62C69B}"/>
            </a:ext>
          </a:extLst>
        </xdr:cNvPr>
        <xdr:cNvGrpSpPr>
          <a:grpSpLocks/>
        </xdr:cNvGrpSpPr>
      </xdr:nvGrpSpPr>
      <xdr:grpSpPr bwMode="auto">
        <a:xfrm>
          <a:off x="76200" y="188567"/>
          <a:ext cx="10715763" cy="603803"/>
          <a:chOff x="602219" y="80819"/>
          <a:chExt cx="9684781" cy="624417"/>
        </a:xfrm>
      </xdr:grpSpPr>
      <xdr:pic>
        <xdr:nvPicPr>
          <xdr:cNvPr id="12406" name="Imagen 4">
            <a:extLst>
              <a:ext uri="{FF2B5EF4-FFF2-40B4-BE49-F238E27FC236}">
                <a16:creationId xmlns:a16="http://schemas.microsoft.com/office/drawing/2014/main" id="{32E180E7-3917-5FD4-609B-F64753E7F5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2219" y="80819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EA5D6CEC-4384-F4F7-158A-EDB7800F1A61}"/>
              </a:ext>
            </a:extLst>
          </xdr:cNvPr>
          <xdr:cNvSpPr txBox="1"/>
        </xdr:nvSpPr>
        <xdr:spPr>
          <a:xfrm>
            <a:off x="1465083" y="230995"/>
            <a:ext cx="8821917" cy="4347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  <xdr:twoCellAnchor editAs="oneCell">
    <xdr:from>
      <xdr:col>12</xdr:col>
      <xdr:colOff>175260</xdr:colOff>
      <xdr:row>3</xdr:row>
      <xdr:rowOff>175260</xdr:rowOff>
    </xdr:from>
    <xdr:to>
      <xdr:col>15</xdr:col>
      <xdr:colOff>617220</xdr:colOff>
      <xdr:row>43</xdr:row>
      <xdr:rowOff>45720</xdr:rowOff>
    </xdr:to>
    <xdr:pic>
      <xdr:nvPicPr>
        <xdr:cNvPr id="12402" name="Imagen 6">
          <a:extLst>
            <a:ext uri="{FF2B5EF4-FFF2-40B4-BE49-F238E27FC236}">
              <a16:creationId xmlns:a16="http://schemas.microsoft.com/office/drawing/2014/main" id="{50587DAE-8BB6-77D0-670E-2DC5361BC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34" r="23357"/>
        <a:stretch>
          <a:fillRect/>
        </a:stretch>
      </xdr:blipFill>
      <xdr:spPr bwMode="auto">
        <a:xfrm>
          <a:off x="9494520" y="723900"/>
          <a:ext cx="2819400" cy="7680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723900</xdr:colOff>
      <xdr:row>31</xdr:row>
      <xdr:rowOff>99060</xdr:rowOff>
    </xdr:from>
    <xdr:to>
      <xdr:col>6</xdr:col>
      <xdr:colOff>198120</xdr:colOff>
      <xdr:row>32</xdr:row>
      <xdr:rowOff>144780</xdr:rowOff>
    </xdr:to>
    <xdr:grpSp>
      <xdr:nvGrpSpPr>
        <xdr:cNvPr id="12403" name="Grupo 9">
          <a:extLst>
            <a:ext uri="{FF2B5EF4-FFF2-40B4-BE49-F238E27FC236}">
              <a16:creationId xmlns:a16="http://schemas.microsoft.com/office/drawing/2014/main" id="{E1E6F018-D3DB-DA27-3B52-00E6FF2F5CAA}"/>
            </a:ext>
          </a:extLst>
        </xdr:cNvPr>
        <xdr:cNvGrpSpPr>
          <a:grpSpLocks/>
        </xdr:cNvGrpSpPr>
      </xdr:nvGrpSpPr>
      <xdr:grpSpPr bwMode="auto">
        <a:xfrm>
          <a:off x="3109291" y="6252817"/>
          <a:ext cx="1913559" cy="226668"/>
          <a:chOff x="3048000" y="6086475"/>
          <a:chExt cx="1819276" cy="238125"/>
        </a:xfrm>
      </xdr:grpSpPr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7E68ADDC-3D2F-A155-AEC2-E706C0F3CC24}"/>
              </a:ext>
            </a:extLst>
          </xdr:cNvPr>
          <xdr:cNvSpPr/>
        </xdr:nvSpPr>
        <xdr:spPr>
          <a:xfrm>
            <a:off x="3048000" y="6118225"/>
            <a:ext cx="224691" cy="150813"/>
          </a:xfrm>
          <a:prstGeom prst="rect">
            <a:avLst/>
          </a:prstGeom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GB"/>
          </a:p>
        </xdr:txBody>
      </xdr:sp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417BE51-F71C-7852-055E-14A9AE4D3C82}"/>
              </a:ext>
            </a:extLst>
          </xdr:cNvPr>
          <xdr:cNvSpPr txBox="1"/>
        </xdr:nvSpPr>
        <xdr:spPr>
          <a:xfrm>
            <a:off x="3250947" y="6086475"/>
            <a:ext cx="1616329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PE" sz="1050">
                <a:solidFill>
                  <a:schemeClr val="accent6"/>
                </a:solidFill>
              </a:rPr>
              <a:t>Evaluación</a:t>
            </a:r>
            <a:r>
              <a:rPr lang="es-PE" sz="1050" baseline="0">
                <a:solidFill>
                  <a:schemeClr val="accent6"/>
                </a:solidFill>
              </a:rPr>
              <a:t> seleccionada</a:t>
            </a:r>
            <a:endParaRPr lang="es-PE" sz="1050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78441</xdr:colOff>
      <xdr:row>7</xdr:row>
      <xdr:rowOff>54346</xdr:rowOff>
    </xdr:from>
    <xdr:to>
      <xdr:col>11</xdr:col>
      <xdr:colOff>346554</xdr:colOff>
      <xdr:row>13</xdr:row>
      <xdr:rowOff>152217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01EA2E07-5B36-9500-00AE-CE4D4F52759D}"/>
            </a:ext>
          </a:extLst>
        </xdr:cNvPr>
        <xdr:cNvSpPr>
          <a:spLocks noChangeArrowheads="1"/>
        </xdr:cNvSpPr>
      </xdr:nvSpPr>
      <xdr:spPr bwMode="auto">
        <a:xfrm>
          <a:off x="78441" y="1186140"/>
          <a:ext cx="8830234" cy="1190628"/>
        </a:xfrm>
        <a:prstGeom prst="roundRect">
          <a:avLst>
            <a:gd name="adj" fmla="val 16667"/>
          </a:avLst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Apartir de la celda A18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, digite la planilla que se encuentra en la figura, siguiendo las siguientes instrucciones.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(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3 ptos)</a:t>
          </a: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:</a:t>
          </a:r>
        </a:p>
        <a:p>
          <a:r>
            <a:rPr lang="es-ES_tradnl" sz="1400" b="0" i="0">
              <a:solidFill>
                <a:schemeClr val="bg1"/>
              </a:solidFill>
              <a:latin typeface="+mn-lt"/>
              <a:ea typeface="+mn-ea"/>
              <a:cs typeface="+mn-cs"/>
            </a:rPr>
            <a:t>a)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Subtotal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se obtiene multiplicando La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CANT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con el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PRECIO UNIT</a:t>
          </a:r>
          <a:r>
            <a:rPr lang="es-ES_tradnl" sz="1400" b="0" i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endParaRPr lang="es-ES_tradnl" sz="1400" b="1" i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>
            <a:lnSpc>
              <a:spcPts val="1600"/>
            </a:lnSpc>
          </a:pP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b) 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 IGV  </a:t>
          </a:r>
          <a:r>
            <a:rPr lang="es-ES_tradnl" sz="1400" b="0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corresponde  al 18% del valor de la columna 	</a:t>
          </a:r>
          <a:r>
            <a:rPr lang="es-ES_tradnl" sz="1400" b="1" i="0" baseline="0">
              <a:solidFill>
                <a:schemeClr val="bg1"/>
              </a:solidFill>
              <a:latin typeface="+mn-lt"/>
              <a:ea typeface="+mn-ea"/>
              <a:cs typeface="+mn-cs"/>
            </a:rPr>
            <a:t>SUBTOTAL</a:t>
          </a:r>
          <a:r>
            <a:rPr lang="es-ES_tradnl" sz="1400" b="1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 </a:t>
          </a:r>
        </a:p>
        <a:p>
          <a:pPr>
            <a:lnSpc>
              <a:spcPts val="1600"/>
            </a:lnSpc>
          </a:pP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c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)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 TOTAL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es la suma del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SUBTOTAL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mas </a:t>
          </a:r>
          <a:r>
            <a:rPr lang="es-ES_tradnl" sz="1400" b="1" i="0" strike="noStrike" baseline="0">
              <a:solidFill>
                <a:schemeClr val="bg1"/>
              </a:solidFill>
              <a:latin typeface="Calibri"/>
              <a:cs typeface="Calibri"/>
            </a:rPr>
            <a:t>IGV 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cs typeface="Calibri"/>
            </a:rPr>
            <a:t> 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cs typeface="Calibri"/>
            </a:rPr>
            <a:t> </a:t>
          </a:r>
          <a:endParaRPr lang="es-ES_tradnl" sz="1400" b="1" i="0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106680</xdr:colOff>
      <xdr:row>0</xdr:row>
      <xdr:rowOff>144780</xdr:rowOff>
    </xdr:from>
    <xdr:to>
      <xdr:col>14</xdr:col>
      <xdr:colOff>30480</xdr:colOff>
      <xdr:row>4</xdr:row>
      <xdr:rowOff>121920</xdr:rowOff>
    </xdr:to>
    <xdr:grpSp>
      <xdr:nvGrpSpPr>
        <xdr:cNvPr id="13394" name="Grupo 3">
          <a:extLst>
            <a:ext uri="{FF2B5EF4-FFF2-40B4-BE49-F238E27FC236}">
              <a16:creationId xmlns:a16="http://schemas.microsoft.com/office/drawing/2014/main" id="{4510D4B1-B296-4D72-32BF-3F4CDD2A2E75}"/>
            </a:ext>
          </a:extLst>
        </xdr:cNvPr>
        <xdr:cNvGrpSpPr>
          <a:grpSpLocks/>
        </xdr:cNvGrpSpPr>
      </xdr:nvGrpSpPr>
      <xdr:grpSpPr bwMode="auto">
        <a:xfrm>
          <a:off x="107950" y="146050"/>
          <a:ext cx="12413974" cy="681383"/>
          <a:chOff x="222250" y="137584"/>
          <a:chExt cx="10064750" cy="624417"/>
        </a:xfrm>
      </xdr:grpSpPr>
      <xdr:pic>
        <xdr:nvPicPr>
          <xdr:cNvPr id="13396" name="Imagen 4">
            <a:extLst>
              <a:ext uri="{FF2B5EF4-FFF2-40B4-BE49-F238E27FC236}">
                <a16:creationId xmlns:a16="http://schemas.microsoft.com/office/drawing/2014/main" id="{ADDFB7BA-39B1-BB62-1E02-16C4B6FC98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8" name="CuadroTexto 7">
            <a:extLst>
              <a:ext uri="{FF2B5EF4-FFF2-40B4-BE49-F238E27FC236}">
                <a16:creationId xmlns:a16="http://schemas.microsoft.com/office/drawing/2014/main" id="{8903905E-5BBB-9C05-5AFE-7E417B630E11}"/>
              </a:ext>
            </a:extLst>
          </xdr:cNvPr>
          <xdr:cNvSpPr txBox="1"/>
        </xdr:nvSpPr>
        <xdr:spPr>
          <a:xfrm>
            <a:off x="1456668" y="228791"/>
            <a:ext cx="8830332" cy="442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  <xdr:twoCellAnchor editAs="oneCell">
    <xdr:from>
      <xdr:col>6</xdr:col>
      <xdr:colOff>469280</xdr:colOff>
      <xdr:row>16</xdr:row>
      <xdr:rowOff>34336</xdr:rowOff>
    </xdr:from>
    <xdr:to>
      <xdr:col>16</xdr:col>
      <xdr:colOff>735979</xdr:colOff>
      <xdr:row>24</xdr:row>
      <xdr:rowOff>102616</xdr:rowOff>
    </xdr:to>
    <xdr:pic>
      <xdr:nvPicPr>
        <xdr:cNvPr id="13395" name="Imagen 19">
          <a:extLst>
            <a:ext uri="{FF2B5EF4-FFF2-40B4-BE49-F238E27FC236}">
              <a16:creationId xmlns:a16="http://schemas.microsoft.com/office/drawing/2014/main" id="{472F45B5-E46D-6209-7B0E-522A18664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5972" y="2789259"/>
          <a:ext cx="7828084" cy="13578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87840</xdr:colOff>
      <xdr:row>7</xdr:row>
      <xdr:rowOff>135467</xdr:rowOff>
    </xdr:from>
    <xdr:to>
      <xdr:col>5</xdr:col>
      <xdr:colOff>730257</xdr:colOff>
      <xdr:row>11</xdr:row>
      <xdr:rowOff>179906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EA423E21-8867-4034-CE81-5EC8F426F869}"/>
            </a:ext>
          </a:extLst>
        </xdr:cNvPr>
        <xdr:cNvSpPr txBox="1"/>
      </xdr:nvSpPr>
      <xdr:spPr>
        <a:xfrm>
          <a:off x="87840" y="1475317"/>
          <a:ext cx="4439708" cy="800100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indent="0">
            <a:lnSpc>
              <a:spcPts val="1600"/>
            </a:lnSpc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Inmovilice paneles hasta la fila  14, de tal forma  que, queden los títulos de la base de datos inmovilizados.  (2 ptos.)</a:t>
          </a:r>
        </a:p>
      </xdr:txBody>
    </xdr:sp>
    <xdr:clientData/>
  </xdr:twoCellAnchor>
  <xdr:twoCellAnchor>
    <xdr:from>
      <xdr:col>0</xdr:col>
      <xdr:colOff>220980</xdr:colOff>
      <xdr:row>0</xdr:row>
      <xdr:rowOff>144780</xdr:rowOff>
    </xdr:from>
    <xdr:to>
      <xdr:col>7</xdr:col>
      <xdr:colOff>205740</xdr:colOff>
      <xdr:row>4</xdr:row>
      <xdr:rowOff>137160</xdr:rowOff>
    </xdr:to>
    <xdr:grpSp>
      <xdr:nvGrpSpPr>
        <xdr:cNvPr id="14402" name="Grupo 4">
          <a:extLst>
            <a:ext uri="{FF2B5EF4-FFF2-40B4-BE49-F238E27FC236}">
              <a16:creationId xmlns:a16="http://schemas.microsoft.com/office/drawing/2014/main" id="{AB944DEB-7594-1056-5A63-FBB53979DB04}"/>
            </a:ext>
          </a:extLst>
        </xdr:cNvPr>
        <xdr:cNvGrpSpPr>
          <a:grpSpLocks/>
        </xdr:cNvGrpSpPr>
      </xdr:nvGrpSpPr>
      <xdr:grpSpPr bwMode="auto">
        <a:xfrm>
          <a:off x="222250" y="146050"/>
          <a:ext cx="10350776" cy="656259"/>
          <a:chOff x="222250" y="137584"/>
          <a:chExt cx="10064750" cy="624417"/>
        </a:xfrm>
      </xdr:grpSpPr>
      <xdr:pic>
        <xdr:nvPicPr>
          <xdr:cNvPr id="14403" name="Imagen 2">
            <a:extLst>
              <a:ext uri="{FF2B5EF4-FFF2-40B4-BE49-F238E27FC236}">
                <a16:creationId xmlns:a16="http://schemas.microsoft.com/office/drawing/2014/main" id="{5ECC3894-1072-C84B-3363-2CD1C51C5B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436A7FA1-8F25-A51F-6E62-2E4597AE4F50}"/>
              </a:ext>
            </a:extLst>
          </xdr:cNvPr>
          <xdr:cNvSpPr txBox="1"/>
        </xdr:nvSpPr>
        <xdr:spPr>
          <a:xfrm>
            <a:off x="1458142" y="230888"/>
            <a:ext cx="8828858" cy="43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105835</xdr:colOff>
      <xdr:row>6</xdr:row>
      <xdr:rowOff>161715</xdr:rowOff>
    </xdr:from>
    <xdr:to>
      <xdr:col>8</xdr:col>
      <xdr:colOff>373805</xdr:colOff>
      <xdr:row>12</xdr:row>
      <xdr:rowOff>43326</xdr:rowOff>
    </xdr:to>
    <xdr:sp macro="" textlink="">
      <xdr:nvSpPr>
        <xdr:cNvPr id="2" name="3 CuadroTexto">
          <a:extLst>
            <a:ext uri="{FF2B5EF4-FFF2-40B4-BE49-F238E27FC236}">
              <a16:creationId xmlns:a16="http://schemas.microsoft.com/office/drawing/2014/main" id="{EBE53C9E-6465-F359-170A-88053CEDF3DF}"/>
            </a:ext>
          </a:extLst>
        </xdr:cNvPr>
        <xdr:cNvSpPr txBox="1"/>
      </xdr:nvSpPr>
      <xdr:spPr>
        <a:xfrm>
          <a:off x="105835" y="1312335"/>
          <a:ext cx="6349998" cy="1016963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indent="0"/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Realicé un formato condicional, que rellene de color amarillo todas las celdas del campo DETALLE  que sean iguales a  SANTIAGO.  (1 pto.)</a:t>
          </a:r>
        </a:p>
        <a:p>
          <a:pPr marL="0" lvl="0" indent="0">
            <a:lnSpc>
              <a:spcPts val="1600"/>
            </a:lnSpc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b) ) Realicé un formato condicional, que modifique el color de la fuente a rojo a todas las cuotas mayores a 1.(1 pto.)</a:t>
          </a:r>
        </a:p>
        <a:p>
          <a:pPr marL="0" lvl="0" indent="0">
            <a:lnSpc>
              <a:spcPts val="1600"/>
            </a:lnSpc>
          </a:pPr>
          <a:endParaRPr lang="es-ES_tradnl" sz="1400" b="0" i="0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236220</xdr:colOff>
      <xdr:row>0</xdr:row>
      <xdr:rowOff>137160</xdr:rowOff>
    </xdr:from>
    <xdr:to>
      <xdr:col>9</xdr:col>
      <xdr:colOff>68580</xdr:colOff>
      <xdr:row>4</xdr:row>
      <xdr:rowOff>129540</xdr:rowOff>
    </xdr:to>
    <xdr:grpSp>
      <xdr:nvGrpSpPr>
        <xdr:cNvPr id="15426" name="Grupo 4">
          <a:extLst>
            <a:ext uri="{FF2B5EF4-FFF2-40B4-BE49-F238E27FC236}">
              <a16:creationId xmlns:a16="http://schemas.microsoft.com/office/drawing/2014/main" id="{210EAA7F-B11C-CCBB-5F37-F6959F9B2144}"/>
            </a:ext>
          </a:extLst>
        </xdr:cNvPr>
        <xdr:cNvGrpSpPr>
          <a:grpSpLocks/>
        </xdr:cNvGrpSpPr>
      </xdr:nvGrpSpPr>
      <xdr:grpSpPr bwMode="auto">
        <a:xfrm>
          <a:off x="234950" y="139700"/>
          <a:ext cx="10367141" cy="652955"/>
          <a:chOff x="222250" y="137584"/>
          <a:chExt cx="10064750" cy="624417"/>
        </a:xfrm>
      </xdr:grpSpPr>
      <xdr:pic>
        <xdr:nvPicPr>
          <xdr:cNvPr id="15427" name="Imagen 2">
            <a:extLst>
              <a:ext uri="{FF2B5EF4-FFF2-40B4-BE49-F238E27FC236}">
                <a16:creationId xmlns:a16="http://schemas.microsoft.com/office/drawing/2014/main" id="{332B3295-B198-E6BB-C90A-140B60D930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E99A967D-A303-7AE5-4C03-340872225633}"/>
              </a:ext>
            </a:extLst>
          </xdr:cNvPr>
          <xdr:cNvSpPr txBox="1"/>
        </xdr:nvSpPr>
        <xdr:spPr>
          <a:xfrm>
            <a:off x="1457234" y="230888"/>
            <a:ext cx="8829766" cy="43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7</xdr:row>
      <xdr:rowOff>29369</xdr:rowOff>
    </xdr:from>
    <xdr:to>
      <xdr:col>7</xdr:col>
      <xdr:colOff>64780</xdr:colOff>
      <xdr:row>10</xdr:row>
      <xdr:rowOff>154252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E607CC3B-D514-8052-EAEF-89AC2E2AB9E2}"/>
            </a:ext>
          </a:extLst>
        </xdr:cNvPr>
        <xdr:cNvSpPr txBox="1"/>
      </xdr:nvSpPr>
      <xdr:spPr>
        <a:xfrm>
          <a:off x="57150" y="1362869"/>
          <a:ext cx="5334000" cy="696383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Realicé un formato condicIonal, que modifique el color de la fuente a rojo para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todo los STOCK VALOR mayor 7,000,000.(1 ptos.)</a:t>
          </a: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 </a:t>
          </a:r>
        </a:p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b) </a:t>
          </a:r>
          <a:r>
            <a:rPr lang="es-ES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Filtrar  todos los productos de la categoría BEBIDAS cuyo país de origen sea ALEMANIA y cuyo STOCK se encuentre entre 2000 y 4000. 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(2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t> 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ptos.)</a:t>
          </a:r>
        </a:p>
      </xdr:txBody>
    </xdr:sp>
    <xdr:clientData/>
  </xdr:twoCellAnchor>
  <xdr:twoCellAnchor>
    <xdr:from>
      <xdr:col>0</xdr:col>
      <xdr:colOff>213360</xdr:colOff>
      <xdr:row>0</xdr:row>
      <xdr:rowOff>152400</xdr:rowOff>
    </xdr:from>
    <xdr:to>
      <xdr:col>5</xdr:col>
      <xdr:colOff>967740</xdr:colOff>
      <xdr:row>4</xdr:row>
      <xdr:rowOff>7620</xdr:rowOff>
    </xdr:to>
    <xdr:grpSp>
      <xdr:nvGrpSpPr>
        <xdr:cNvPr id="16450" name="Grupo 4">
          <a:extLst>
            <a:ext uri="{FF2B5EF4-FFF2-40B4-BE49-F238E27FC236}">
              <a16:creationId xmlns:a16="http://schemas.microsoft.com/office/drawing/2014/main" id="{7D35FE62-4F38-A8C7-6934-A0F9FFA807DC}"/>
            </a:ext>
          </a:extLst>
        </xdr:cNvPr>
        <xdr:cNvGrpSpPr>
          <a:grpSpLocks/>
        </xdr:cNvGrpSpPr>
      </xdr:nvGrpSpPr>
      <xdr:grpSpPr bwMode="auto">
        <a:xfrm>
          <a:off x="215900" y="152400"/>
          <a:ext cx="10362648" cy="626993"/>
          <a:chOff x="222250" y="137584"/>
          <a:chExt cx="10064750" cy="624417"/>
        </a:xfrm>
      </xdr:grpSpPr>
      <xdr:pic>
        <xdr:nvPicPr>
          <xdr:cNvPr id="16451" name="Imagen 2">
            <a:extLst>
              <a:ext uri="{FF2B5EF4-FFF2-40B4-BE49-F238E27FC236}">
                <a16:creationId xmlns:a16="http://schemas.microsoft.com/office/drawing/2014/main" id="{52DD4169-0CA0-ACB5-B2CC-D46F50AD11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D0B8AE93-4E63-1B47-C7EE-7E1E404FA4FB}"/>
              </a:ext>
            </a:extLst>
          </xdr:cNvPr>
          <xdr:cNvSpPr txBox="1"/>
        </xdr:nvSpPr>
        <xdr:spPr>
          <a:xfrm>
            <a:off x="1458142" y="230090"/>
            <a:ext cx="8828858" cy="439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</xdr:colOff>
      <xdr:row>7</xdr:row>
      <xdr:rowOff>86589</xdr:rowOff>
    </xdr:from>
    <xdr:to>
      <xdr:col>11</xdr:col>
      <xdr:colOff>314480</xdr:colOff>
      <xdr:row>11</xdr:row>
      <xdr:rowOff>147024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72DBA0BE-BAB0-53FA-24FA-24788B5138FF}"/>
            </a:ext>
          </a:extLst>
        </xdr:cNvPr>
        <xdr:cNvSpPr txBox="1"/>
      </xdr:nvSpPr>
      <xdr:spPr>
        <a:xfrm>
          <a:off x="95250" y="1420089"/>
          <a:ext cx="8585970" cy="821087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Utilice la función BUSCARV, para completar la columna de % AFP de la lista. </a:t>
          </a:r>
          <a:r>
            <a:rPr kumimoji="0" lang="es-ES_tradnl" sz="14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+mn-lt"/>
              <a:ea typeface="+mn-ea"/>
              <a:cs typeface="Calibri"/>
            </a:rPr>
            <a:t>(4 ptos.)</a:t>
          </a:r>
          <a:endParaRPr lang="es-ES_tradnl" sz="1400" b="0" i="0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76200</xdr:colOff>
      <xdr:row>1</xdr:row>
      <xdr:rowOff>76200</xdr:rowOff>
    </xdr:from>
    <xdr:to>
      <xdr:col>13</xdr:col>
      <xdr:colOff>624840</xdr:colOff>
      <xdr:row>5</xdr:row>
      <xdr:rowOff>68580</xdr:rowOff>
    </xdr:to>
    <xdr:grpSp>
      <xdr:nvGrpSpPr>
        <xdr:cNvPr id="17474" name="Grupo 4">
          <a:extLst>
            <a:ext uri="{FF2B5EF4-FFF2-40B4-BE49-F238E27FC236}">
              <a16:creationId xmlns:a16="http://schemas.microsoft.com/office/drawing/2014/main" id="{324B5FD9-DC8F-03B3-50CF-E4C4816A3DD4}"/>
            </a:ext>
          </a:extLst>
        </xdr:cNvPr>
        <xdr:cNvGrpSpPr>
          <a:grpSpLocks/>
        </xdr:cNvGrpSpPr>
      </xdr:nvGrpSpPr>
      <xdr:grpSpPr bwMode="auto">
        <a:xfrm>
          <a:off x="281354" y="242277"/>
          <a:ext cx="10369061" cy="657958"/>
          <a:chOff x="222250" y="137584"/>
          <a:chExt cx="10064750" cy="624417"/>
        </a:xfrm>
      </xdr:grpSpPr>
      <xdr:pic>
        <xdr:nvPicPr>
          <xdr:cNvPr id="17475" name="Imagen 2">
            <a:extLst>
              <a:ext uri="{FF2B5EF4-FFF2-40B4-BE49-F238E27FC236}">
                <a16:creationId xmlns:a16="http://schemas.microsoft.com/office/drawing/2014/main" id="{FE3CFBB4-E49A-317E-45B3-0C4DDC6C2F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9CE793FE-35E0-5D60-4E5A-371BE1940856}"/>
              </a:ext>
            </a:extLst>
          </xdr:cNvPr>
          <xdr:cNvSpPr txBox="1"/>
        </xdr:nvSpPr>
        <xdr:spPr>
          <a:xfrm>
            <a:off x="1458142" y="230888"/>
            <a:ext cx="8828858" cy="43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</xdr:colOff>
      <xdr:row>7</xdr:row>
      <xdr:rowOff>125520</xdr:rowOff>
    </xdr:from>
    <xdr:to>
      <xdr:col>11</xdr:col>
      <xdr:colOff>129970</xdr:colOff>
      <xdr:row>11</xdr:row>
      <xdr:rowOff>77217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83748351-289D-F69E-08E6-AEEED568A6B3}"/>
            </a:ext>
          </a:extLst>
        </xdr:cNvPr>
        <xdr:cNvSpPr txBox="1"/>
      </xdr:nvSpPr>
      <xdr:spPr>
        <a:xfrm>
          <a:off x="60325" y="1245660"/>
          <a:ext cx="9098491" cy="704850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a) Construya una tabla dinámica, utilizando la base de datos y el modelo de esta hoja</a:t>
          </a:r>
          <a:r>
            <a:rPr lang="es-ES_tradnl" sz="1400" b="0" i="0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t>.</a:t>
          </a:r>
          <a:r>
            <a:rPr lang="es-ES_tradnl" sz="1400" b="0" i="0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 (4 ptos.)</a:t>
          </a:r>
        </a:p>
      </xdr:txBody>
    </xdr:sp>
    <xdr:clientData/>
  </xdr:twoCellAnchor>
  <xdr:twoCellAnchor>
    <xdr:from>
      <xdr:col>6</xdr:col>
      <xdr:colOff>7620</xdr:colOff>
      <xdr:row>13</xdr:row>
      <xdr:rowOff>99060</xdr:rowOff>
    </xdr:from>
    <xdr:to>
      <xdr:col>13</xdr:col>
      <xdr:colOff>22860</xdr:colOff>
      <xdr:row>19</xdr:row>
      <xdr:rowOff>167640</xdr:rowOff>
    </xdr:to>
    <xdr:pic>
      <xdr:nvPicPr>
        <xdr:cNvPr id="18514" name="Picture 1">
          <a:extLst>
            <a:ext uri="{FF2B5EF4-FFF2-40B4-BE49-F238E27FC236}">
              <a16:creationId xmlns:a16="http://schemas.microsoft.com/office/drawing/2014/main" id="{B9E4AEB1-53B0-F995-C29D-62DA33887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7820" y="2354580"/>
          <a:ext cx="5509260" cy="1181100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266700</xdr:colOff>
      <xdr:row>1</xdr:row>
      <xdr:rowOff>91440</xdr:rowOff>
    </xdr:from>
    <xdr:to>
      <xdr:col>12</xdr:col>
      <xdr:colOff>518160</xdr:colOff>
      <xdr:row>5</xdr:row>
      <xdr:rowOff>76200</xdr:rowOff>
    </xdr:to>
    <xdr:grpSp>
      <xdr:nvGrpSpPr>
        <xdr:cNvPr id="18515" name="Grupo 4">
          <a:extLst>
            <a:ext uri="{FF2B5EF4-FFF2-40B4-BE49-F238E27FC236}">
              <a16:creationId xmlns:a16="http://schemas.microsoft.com/office/drawing/2014/main" id="{88729CFA-47ED-1B0A-E40E-4807082B5974}"/>
            </a:ext>
          </a:extLst>
        </xdr:cNvPr>
        <xdr:cNvGrpSpPr>
          <a:grpSpLocks/>
        </xdr:cNvGrpSpPr>
      </xdr:nvGrpSpPr>
      <xdr:grpSpPr bwMode="auto">
        <a:xfrm>
          <a:off x="266700" y="253253"/>
          <a:ext cx="11542059" cy="644712"/>
          <a:chOff x="222250" y="137584"/>
          <a:chExt cx="10064750" cy="624417"/>
        </a:xfrm>
      </xdr:grpSpPr>
      <xdr:pic>
        <xdr:nvPicPr>
          <xdr:cNvPr id="18516" name="Imagen 2">
            <a:extLst>
              <a:ext uri="{FF2B5EF4-FFF2-40B4-BE49-F238E27FC236}">
                <a16:creationId xmlns:a16="http://schemas.microsoft.com/office/drawing/2014/main" id="{DFB0F624-2B7A-889E-9737-E47233598B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BE71F84-4416-8D27-49E5-CCBF0A7F6088}"/>
              </a:ext>
            </a:extLst>
          </xdr:cNvPr>
          <xdr:cNvSpPr txBox="1"/>
        </xdr:nvSpPr>
        <xdr:spPr>
          <a:xfrm>
            <a:off x="1457234" y="231973"/>
            <a:ext cx="8829766" cy="435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606424</xdr:colOff>
      <xdr:row>13</xdr:row>
      <xdr:rowOff>139482</xdr:rowOff>
    </xdr:from>
    <xdr:to>
      <xdr:col>12</xdr:col>
      <xdr:colOff>485392</xdr:colOff>
      <xdr:row>22</xdr:row>
      <xdr:rowOff>107272</xdr:rowOff>
    </xdr:to>
    <xdr:pic>
      <xdr:nvPicPr>
        <xdr:cNvPr id="20481" name="Picture 1">
          <a:extLst>
            <a:ext uri="{FF2B5EF4-FFF2-40B4-BE49-F238E27FC236}">
              <a16:creationId xmlns:a16="http://schemas.microsoft.com/office/drawing/2014/main" id="{0BD9A53B-00B6-81E1-0489-37D08B1260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48249" y="794802"/>
          <a:ext cx="5198993" cy="1684181"/>
        </a:xfrm>
        <a:prstGeom prst="rect">
          <a:avLst/>
        </a:prstGeom>
        <a:noFill/>
        <a:ln w="9525">
          <a:solidFill>
            <a:schemeClr val="accent1"/>
          </a:solidFill>
          <a:miter lim="800000"/>
          <a:headEnd/>
          <a:tailEnd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49530</xdr:colOff>
      <xdr:row>7</xdr:row>
      <xdr:rowOff>126578</xdr:rowOff>
    </xdr:from>
    <xdr:to>
      <xdr:col>11</xdr:col>
      <xdr:colOff>128055</xdr:colOff>
      <xdr:row>11</xdr:row>
      <xdr:rowOff>39455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46514BE6-54D1-2C79-E85E-2BEEA76C0F8B}"/>
            </a:ext>
          </a:extLst>
        </xdr:cNvPr>
        <xdr:cNvSpPr txBox="1"/>
      </xdr:nvSpPr>
      <xdr:spPr>
        <a:xfrm>
          <a:off x="50800" y="1246718"/>
          <a:ext cx="9098491" cy="658283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Construya una tabla dinámica, utilizando la base de datos y el modelo de esta hoja. Asimismo una segmentación por mes (5 ptos.)</a:t>
          </a:r>
        </a:p>
      </xdr:txBody>
    </xdr:sp>
    <xdr:clientData/>
  </xdr:twoCellAnchor>
  <xdr:twoCellAnchor editAs="oneCell">
    <xdr:from>
      <xdr:col>12</xdr:col>
      <xdr:colOff>723900</xdr:colOff>
      <xdr:row>13</xdr:row>
      <xdr:rowOff>114300</xdr:rowOff>
    </xdr:from>
    <xdr:to>
      <xdr:col>15</xdr:col>
      <xdr:colOff>266701</xdr:colOff>
      <xdr:row>25</xdr:row>
      <xdr:rowOff>190500</xdr:rowOff>
    </xdr:to>
    <xdr:pic>
      <xdr:nvPicPr>
        <xdr:cNvPr id="19555" name="Imagen 7">
          <a:extLst>
            <a:ext uri="{FF2B5EF4-FFF2-40B4-BE49-F238E27FC236}">
              <a16:creationId xmlns:a16="http://schemas.microsoft.com/office/drawing/2014/main" id="{AAA91764-F62B-7442-BA91-FDB3D2330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43260" y="2369820"/>
          <a:ext cx="1897380" cy="2491740"/>
        </a:xfrm>
        <a:prstGeom prst="rect">
          <a:avLst/>
        </a:prstGeom>
        <a:noFill/>
        <a:ln w="9525">
          <a:solidFill>
            <a:srgbClr val="466EA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281940</xdr:colOff>
      <xdr:row>1</xdr:row>
      <xdr:rowOff>91440</xdr:rowOff>
    </xdr:from>
    <xdr:to>
      <xdr:col>12</xdr:col>
      <xdr:colOff>548640</xdr:colOff>
      <xdr:row>5</xdr:row>
      <xdr:rowOff>76200</xdr:rowOff>
    </xdr:to>
    <xdr:grpSp>
      <xdr:nvGrpSpPr>
        <xdr:cNvPr id="19556" name="Grupo 4">
          <a:extLst>
            <a:ext uri="{FF2B5EF4-FFF2-40B4-BE49-F238E27FC236}">
              <a16:creationId xmlns:a16="http://schemas.microsoft.com/office/drawing/2014/main" id="{C696E0A0-776A-396F-CC43-42D305AA40B7}"/>
            </a:ext>
          </a:extLst>
        </xdr:cNvPr>
        <xdr:cNvGrpSpPr>
          <a:grpSpLocks/>
        </xdr:cNvGrpSpPr>
      </xdr:nvGrpSpPr>
      <xdr:grpSpPr bwMode="auto">
        <a:xfrm>
          <a:off x="279400" y="253253"/>
          <a:ext cx="10732994" cy="644712"/>
          <a:chOff x="222250" y="137584"/>
          <a:chExt cx="10064750" cy="624417"/>
        </a:xfrm>
      </xdr:grpSpPr>
      <xdr:pic>
        <xdr:nvPicPr>
          <xdr:cNvPr id="19557" name="Imagen 2">
            <a:extLst>
              <a:ext uri="{FF2B5EF4-FFF2-40B4-BE49-F238E27FC236}">
                <a16:creationId xmlns:a16="http://schemas.microsoft.com/office/drawing/2014/main" id="{2984838D-53DA-4CFD-E185-E1EAC6EE6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25CF0171-05E4-CDEF-741E-78D5B87F4470}"/>
              </a:ext>
            </a:extLst>
          </xdr:cNvPr>
          <xdr:cNvSpPr txBox="1"/>
        </xdr:nvSpPr>
        <xdr:spPr>
          <a:xfrm>
            <a:off x="1455422" y="231973"/>
            <a:ext cx="8831578" cy="4356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  <xdr:twoCellAnchor editAs="oneCell">
    <xdr:from>
      <xdr:col>11</xdr:col>
      <xdr:colOff>471693</xdr:colOff>
      <xdr:row>33</xdr:row>
      <xdr:rowOff>87406</xdr:rowOff>
    </xdr:from>
    <xdr:to>
      <xdr:col>13</xdr:col>
      <xdr:colOff>721510</xdr:colOff>
      <xdr:row>47</xdr:row>
      <xdr:rowOff>26782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">
              <a:extLst>
                <a:ext uri="{FF2B5EF4-FFF2-40B4-BE49-F238E27FC236}">
                  <a16:creationId xmlns:a16="http://schemas.microsoft.com/office/drawing/2014/main" id="{649C6491-B47D-DB7B-7B8B-82C2D5E8CE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58506" y="6256842"/>
              <a:ext cx="182118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55470</xdr:colOff>
      <xdr:row>6</xdr:row>
      <xdr:rowOff>116578</xdr:rowOff>
    </xdr:from>
    <xdr:to>
      <xdr:col>9</xdr:col>
      <xdr:colOff>60766</xdr:colOff>
      <xdr:row>15</xdr:row>
      <xdr:rowOff>44854</xdr:rowOff>
    </xdr:to>
    <xdr:sp macro="" textlink="">
      <xdr:nvSpPr>
        <xdr:cNvPr id="7" name="2 CuadroTexto">
          <a:extLst>
            <a:ext uri="{FF2B5EF4-FFF2-40B4-BE49-F238E27FC236}">
              <a16:creationId xmlns:a16="http://schemas.microsoft.com/office/drawing/2014/main" id="{5E0FDF11-341D-1251-10D0-4A8FF6E505AA}"/>
            </a:ext>
          </a:extLst>
        </xdr:cNvPr>
        <xdr:cNvSpPr txBox="1"/>
      </xdr:nvSpPr>
      <xdr:spPr>
        <a:xfrm>
          <a:off x="55470" y="1273548"/>
          <a:ext cx="9928847" cy="1628776"/>
        </a:xfrm>
        <a:prstGeom prst="roundRect">
          <a:avLst/>
        </a:prstGeom>
        <a:solidFill>
          <a:schemeClr val="accent3"/>
        </a:solidFill>
        <a:ln w="9525" algn="ctr">
          <a:solidFill>
            <a:srgbClr val="4A7EBB"/>
          </a:solidFill>
          <a:round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91440" tIns="45720" rIns="91440" bIns="45720" anchor="t" upright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a) Cree una macro en el botón "Macro Rango"que haga lo siguiente en el rango que se seleccione (el rango a seleccionarse será la tabla abajo presentada) (5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ptos)</a:t>
          </a: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1. Coloque 3 guiones en las celdas en blanco.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2. Cambie el símbolo / por ,  (slash por coma)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3. Que rellene  de color naranja las filas pares del rango seleccionado. Ejm debe rellenar la fila de Josefina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_tradnl" sz="1400" b="0" i="0" strike="noStrike">
              <a:solidFill>
                <a:schemeClr val="bg1"/>
              </a:solidFill>
              <a:latin typeface="+mn-lt"/>
              <a:ea typeface="+mn-ea"/>
              <a:cs typeface="Calibri"/>
            </a:rPr>
            <a:t>b)</a:t>
          </a:r>
          <a:r>
            <a:rPr lang="es-ES_tradnl" sz="1400" b="0" i="0" strike="noStrike" baseline="0">
              <a:solidFill>
                <a:schemeClr val="bg1"/>
              </a:solidFill>
              <a:latin typeface="+mn-lt"/>
              <a:ea typeface="+mn-ea"/>
              <a:cs typeface="Calibri"/>
            </a:rPr>
            <a:t> Cree una macro en el botón "Limpiar" que regresé al formato inicial (2 ptos).</a:t>
          </a:r>
          <a:endParaRPr lang="es-ES_tradnl" sz="1400" b="0" i="0" strike="noStrike">
            <a:solidFill>
              <a:schemeClr val="bg1"/>
            </a:solidFill>
            <a:latin typeface="+mn-lt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693420</xdr:colOff>
          <xdr:row>17</xdr:row>
          <xdr:rowOff>22860</xdr:rowOff>
        </xdr:from>
        <xdr:to>
          <xdr:col>8</xdr:col>
          <xdr:colOff>1074420</xdr:colOff>
          <xdr:row>18</xdr:row>
          <xdr:rowOff>121920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Macro Rango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17</xdr:row>
          <xdr:rowOff>7620</xdr:rowOff>
        </xdr:from>
        <xdr:to>
          <xdr:col>11</xdr:col>
          <xdr:colOff>76200</xdr:colOff>
          <xdr:row>18</xdr:row>
          <xdr:rowOff>144780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220980</xdr:colOff>
      <xdr:row>1</xdr:row>
      <xdr:rowOff>45720</xdr:rowOff>
    </xdr:from>
    <xdr:to>
      <xdr:col>9</xdr:col>
      <xdr:colOff>388620</xdr:colOff>
      <xdr:row>4</xdr:row>
      <xdr:rowOff>91440</xdr:rowOff>
    </xdr:to>
    <xdr:grpSp>
      <xdr:nvGrpSpPr>
        <xdr:cNvPr id="9284" name="Grupo 4">
          <a:extLst>
            <a:ext uri="{FF2B5EF4-FFF2-40B4-BE49-F238E27FC236}">
              <a16:creationId xmlns:a16="http://schemas.microsoft.com/office/drawing/2014/main" id="{3762D75A-FE5A-3E47-1CEA-48AC3D4B0199}"/>
            </a:ext>
          </a:extLst>
        </xdr:cNvPr>
        <xdr:cNvGrpSpPr>
          <a:grpSpLocks/>
        </xdr:cNvGrpSpPr>
      </xdr:nvGrpSpPr>
      <xdr:grpSpPr bwMode="auto">
        <a:xfrm>
          <a:off x="222250" y="226667"/>
          <a:ext cx="10424491" cy="591103"/>
          <a:chOff x="222250" y="137584"/>
          <a:chExt cx="10064750" cy="624417"/>
        </a:xfrm>
      </xdr:grpSpPr>
      <xdr:pic>
        <xdr:nvPicPr>
          <xdr:cNvPr id="9285" name="Imagen 2">
            <a:extLst>
              <a:ext uri="{FF2B5EF4-FFF2-40B4-BE49-F238E27FC236}">
                <a16:creationId xmlns:a16="http://schemas.microsoft.com/office/drawing/2014/main" id="{EADA7076-10DE-1DF2-1365-078A1E2C73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A3484A7C-85DC-9AD7-BE46-205DB368F155}"/>
              </a:ext>
            </a:extLst>
          </xdr:cNvPr>
          <xdr:cNvSpPr txBox="1"/>
        </xdr:nvSpPr>
        <xdr:spPr>
          <a:xfrm>
            <a:off x="1454518" y="233648"/>
            <a:ext cx="8832482" cy="4322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163231</xdr:colOff>
      <xdr:row>6</xdr:row>
      <xdr:rowOff>89648</xdr:rowOff>
    </xdr:from>
    <xdr:to>
      <xdr:col>9</xdr:col>
      <xdr:colOff>208054</xdr:colOff>
      <xdr:row>15</xdr:row>
      <xdr:rowOff>166320</xdr:rowOff>
    </xdr:to>
    <xdr:sp macro="" textlink="">
      <xdr:nvSpPr>
        <xdr:cNvPr id="3" name="1 Rectángulo redondeado">
          <a:extLst>
            <a:ext uri="{FF2B5EF4-FFF2-40B4-BE49-F238E27FC236}">
              <a16:creationId xmlns:a16="http://schemas.microsoft.com/office/drawing/2014/main" id="{81FC992E-3227-E22A-3767-3C6D47E1DE06}"/>
            </a:ext>
          </a:extLst>
        </xdr:cNvPr>
        <xdr:cNvSpPr/>
      </xdr:nvSpPr>
      <xdr:spPr>
        <a:xfrm>
          <a:off x="156881" y="1232648"/>
          <a:ext cx="8236323" cy="1806390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72000" tIns="72000" rIns="72000" bIns="72000" rtlCol="0" anchor="t"/>
        <a:lstStyle/>
        <a:p>
          <a:pPr algn="l"/>
          <a:r>
            <a:rPr lang="es-PE" sz="1400"/>
            <a:t>A) Programe</a:t>
          </a:r>
          <a:r>
            <a:rPr lang="es-PE" sz="1400" baseline="0"/>
            <a:t> el formulario "Ingreso de datos", para poder ingresar datos a la tabla. Al guardar, debe crear el formato de la fila que se está ingresando y crear las siguientes fórmulas: "Asignación familiar" es el 10% de 750 soles siempre y cuando el trabajador tenga por lo menos 1 hijo,  y "Neto a Pagar" es el Sueldo Básico + Asignación Familiar - (porcentaje de la AFP/100 * (Sueldo Básico + Asignación Familiar)) (6 ptos).</a:t>
          </a:r>
        </a:p>
        <a:p>
          <a:pPr algn="l"/>
          <a:r>
            <a:rPr lang="es-PE" sz="1400" baseline="0"/>
            <a:t>B) Cargue la lista de áreas en un combobox a partir del rango K3:K7 (1 ptos).</a:t>
          </a:r>
        </a:p>
        <a:p>
          <a:pPr algn="l"/>
          <a:r>
            <a:rPr lang="es-PE" sz="1400" baseline="0"/>
            <a:t>C) Coloque un botón con una macro que muestre el formulario (1 ptos).</a:t>
          </a:r>
        </a:p>
        <a:p>
          <a:pPr algn="l"/>
          <a:endParaRPr lang="es-PE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182880</xdr:colOff>
      <xdr:row>1</xdr:row>
      <xdr:rowOff>45720</xdr:rowOff>
    </xdr:from>
    <xdr:to>
      <xdr:col>10</xdr:col>
      <xdr:colOff>784860</xdr:colOff>
      <xdr:row>4</xdr:row>
      <xdr:rowOff>91440</xdr:rowOff>
    </xdr:to>
    <xdr:grpSp>
      <xdr:nvGrpSpPr>
        <xdr:cNvPr id="21570" name="Grupo 4">
          <a:extLst>
            <a:ext uri="{FF2B5EF4-FFF2-40B4-BE49-F238E27FC236}">
              <a16:creationId xmlns:a16="http://schemas.microsoft.com/office/drawing/2014/main" id="{2499CEDA-382D-EBE0-D305-E6B86FED0B68}"/>
            </a:ext>
          </a:extLst>
        </xdr:cNvPr>
        <xdr:cNvGrpSpPr>
          <a:grpSpLocks/>
        </xdr:cNvGrpSpPr>
      </xdr:nvGrpSpPr>
      <xdr:grpSpPr bwMode="auto">
        <a:xfrm>
          <a:off x="184150" y="231215"/>
          <a:ext cx="10359838" cy="604744"/>
          <a:chOff x="222250" y="137584"/>
          <a:chExt cx="10064750" cy="624417"/>
        </a:xfrm>
      </xdr:grpSpPr>
      <xdr:pic>
        <xdr:nvPicPr>
          <xdr:cNvPr id="21571" name="Imagen 2">
            <a:extLst>
              <a:ext uri="{FF2B5EF4-FFF2-40B4-BE49-F238E27FC236}">
                <a16:creationId xmlns:a16="http://schemas.microsoft.com/office/drawing/2014/main" id="{9354E5D1-104D-4825-4BE8-59996800D9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22250" y="137584"/>
            <a:ext cx="1157916" cy="6244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DE6938D2-7425-4675-1A91-B68669C90116}"/>
              </a:ext>
            </a:extLst>
          </xdr:cNvPr>
          <xdr:cNvSpPr txBox="1"/>
        </xdr:nvSpPr>
        <xdr:spPr>
          <a:xfrm>
            <a:off x="1459052" y="233648"/>
            <a:ext cx="8827948" cy="4322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PE" sz="3600">
                <a:solidFill>
                  <a:schemeClr val="accent1"/>
                </a:solidFill>
              </a:rPr>
              <a:t>Evaluación</a:t>
            </a:r>
            <a:r>
              <a:rPr lang="es-PE" sz="3600" baseline="0">
                <a:solidFill>
                  <a:schemeClr val="accent1"/>
                </a:solidFill>
              </a:rPr>
              <a:t> de Conocimientos - Excel</a:t>
            </a:r>
            <a:endParaRPr lang="es-PE" sz="3600">
              <a:solidFill>
                <a:schemeClr val="accent1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rge/Mis%20documentos/_Trabajo/_Clases/__Excel/___Excel%20en%20modulos/Filtros/Practica%20Filtr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relatorexcel.cl/Documents%20and%20Settings/Jorge/Mis%20documentos/_Trabajo/_Clases/__Excel/___Excel%20en%20modulos/Filtros/Practica%20Filt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OS"/>
      <sheetName val="RESPALDO"/>
      <sheetName val="DATOS"/>
      <sheetName val="INFORME"/>
    </sheetNames>
    <sheetDataSet>
      <sheetData sheetId="0"/>
      <sheetData sheetId="1"/>
      <sheetData sheetId="2">
        <row r="6">
          <cell r="B6" t="str">
            <v>CATEGORIA</v>
          </cell>
          <cell r="C6" t="str">
            <v>%</v>
          </cell>
        </row>
        <row r="7">
          <cell r="B7" t="str">
            <v>FERRETERIA</v>
          </cell>
          <cell r="C7">
            <v>0.1</v>
          </cell>
          <cell r="E7" t="str">
            <v>KILO</v>
          </cell>
          <cell r="F7">
            <v>0.05</v>
          </cell>
        </row>
        <row r="8">
          <cell r="B8" t="str">
            <v>PINTURAS LUBRICANTES DILUYENTES</v>
          </cell>
          <cell r="C8">
            <v>0</v>
          </cell>
        </row>
        <row r="9">
          <cell r="B9" t="str">
            <v>CORDELES Y PIOLAS</v>
          </cell>
          <cell r="C9">
            <v>0.05</v>
          </cell>
        </row>
        <row r="10">
          <cell r="B10" t="str">
            <v>ARTICULOS DE SEGURIDAD</v>
          </cell>
          <cell r="C10">
            <v>0.15</v>
          </cell>
        </row>
        <row r="11">
          <cell r="B11" t="str">
            <v>SOLDADURAS</v>
          </cell>
          <cell r="C11">
            <v>0</v>
          </cell>
        </row>
        <row r="12">
          <cell r="B12" t="str">
            <v>ARTICULOS ELECTRICOS</v>
          </cell>
          <cell r="C12">
            <v>0.05</v>
          </cell>
        </row>
        <row r="13">
          <cell r="B13" t="str">
            <v>FIERRO CONSTRUCCION</v>
          </cell>
          <cell r="C13">
            <v>0.1</v>
          </cell>
        </row>
        <row r="14">
          <cell r="B14" t="str">
            <v>PERFILES</v>
          </cell>
          <cell r="C14">
            <v>0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OS"/>
      <sheetName val="RESPALDO"/>
      <sheetName val="DATOS"/>
      <sheetName val="INFORME"/>
    </sheetNames>
    <sheetDataSet>
      <sheetData sheetId="0"/>
      <sheetData sheetId="1"/>
      <sheetData sheetId="2">
        <row r="6">
          <cell r="B6" t="str">
            <v>CATEGORIA</v>
          </cell>
          <cell r="C6" t="str">
            <v>%</v>
          </cell>
        </row>
        <row r="7">
          <cell r="B7" t="str">
            <v>FERRETERIA</v>
          </cell>
          <cell r="C7">
            <v>0.1</v>
          </cell>
          <cell r="E7" t="str">
            <v>KILO</v>
          </cell>
          <cell r="F7">
            <v>0.05</v>
          </cell>
        </row>
        <row r="8">
          <cell r="B8" t="str">
            <v>PINTURAS LUBRICANTES DILUYENTES</v>
          </cell>
          <cell r="C8">
            <v>0</v>
          </cell>
        </row>
        <row r="9">
          <cell r="B9" t="str">
            <v>CORDELES Y PIOLAS</v>
          </cell>
          <cell r="C9">
            <v>0.05</v>
          </cell>
        </row>
        <row r="10">
          <cell r="B10" t="str">
            <v>ARTICULOS DE SEGURIDAD</v>
          </cell>
          <cell r="C10">
            <v>0.15</v>
          </cell>
        </row>
        <row r="11">
          <cell r="B11" t="str">
            <v>SOLDADURAS</v>
          </cell>
          <cell r="C11">
            <v>0</v>
          </cell>
        </row>
        <row r="12">
          <cell r="B12" t="str">
            <v>ARTICULOS ELECTRICOS</v>
          </cell>
          <cell r="C12">
            <v>0.05</v>
          </cell>
        </row>
        <row r="13">
          <cell r="B13" t="str">
            <v>FIERRO CONSTRUCCION</v>
          </cell>
          <cell r="C13">
            <v>0.1</v>
          </cell>
        </row>
        <row r="14">
          <cell r="B14" t="str">
            <v>PERFILES</v>
          </cell>
          <cell r="C14">
            <v>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684.898048495372" createdVersion="1" refreshedVersion="8" recordCount="19" upgradeOnRefresh="1" xr:uid="{01416BE2-07FE-4CF2-A573-383F72107C65}">
  <cacheSource type="worksheet">
    <worksheetSource ref="B14:E33" sheet="TABLA DINÁMICA 1"/>
  </cacheSource>
  <cacheFields count="4">
    <cacheField name="Mes" numFmtId="0">
      <sharedItems count="6">
        <s v="Abril"/>
        <s v="Marzo"/>
        <s v="Febrero"/>
        <s v="Enero"/>
        <s v="Junio"/>
        <s v="Mayo"/>
      </sharedItems>
    </cacheField>
    <cacheField name="Obra" numFmtId="0">
      <sharedItems count="3">
        <s v="Brasil 678"/>
        <s v="Gran Avenida 378"/>
        <s v="San Ignacio 1041"/>
      </sharedItems>
    </cacheField>
    <cacheField name="Concepto" numFmtId="0">
      <sharedItems count="3">
        <s v="Gasfitería"/>
        <s v="Pintura"/>
        <s v="Electricidad"/>
      </sharedItems>
    </cacheField>
    <cacheField name="Valor" numFmtId="169">
      <sharedItems containsSemiMixedTypes="0" containsString="0" containsNumber="1" containsInteger="1" minValue="11000" maxValue="37400" count="19">
        <n v="11000"/>
        <n v="11900"/>
        <n v="16400"/>
        <n v="17500"/>
        <n v="17600"/>
        <n v="18200"/>
        <n v="18400"/>
        <n v="20000"/>
        <n v="20100"/>
        <n v="21400"/>
        <n v="23000"/>
        <n v="23400"/>
        <n v="24500"/>
        <n v="25500"/>
        <n v="30000"/>
        <n v="30600"/>
        <n v="34600"/>
        <n v="35000"/>
        <n v="374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" refreshedDate="45684.900825925928" createdVersion="8" refreshedVersion="8" recordCount="19" xr:uid="{696CC23A-D1C2-4B5D-82B4-EB84B8674749}">
  <cacheSource type="worksheet">
    <worksheetSource ref="B14:E33" sheet="TABLA DINÁMICA 2"/>
  </cacheSource>
  <cacheFields count="4">
    <cacheField name="Mes" numFmtId="0">
      <sharedItems count="6">
        <s v="Abril"/>
        <s v="Marzo"/>
        <s v="Febrero"/>
        <s v="Enero"/>
        <s v="Junio"/>
        <s v="Mayo"/>
      </sharedItems>
    </cacheField>
    <cacheField name="Obra" numFmtId="0">
      <sharedItems count="3">
        <s v="Brasil 678"/>
        <s v="Gran Avenida 378"/>
        <s v="San Ignacio 1041"/>
      </sharedItems>
    </cacheField>
    <cacheField name="Concepto" numFmtId="0">
      <sharedItems count="3">
        <s v="Gasfitería"/>
        <s v="Pintura"/>
        <s v="Electricidad"/>
      </sharedItems>
    </cacheField>
    <cacheField name="Valor" numFmtId="166">
      <sharedItems containsSemiMixedTypes="0" containsString="0" containsNumber="1" containsInteger="1" minValue="11000" maxValue="37400"/>
    </cacheField>
  </cacheFields>
  <extLst>
    <ext xmlns:x14="http://schemas.microsoft.com/office/spreadsheetml/2009/9/main" uri="{725AE2AE-9491-48be-B2B4-4EB974FC3084}">
      <x14:pivotCacheDefinition pivotCacheId="14411630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</r>
  <r>
    <x v="1"/>
    <x v="1"/>
    <x v="0"/>
    <x v="1"/>
  </r>
  <r>
    <x v="0"/>
    <x v="2"/>
    <x v="0"/>
    <x v="2"/>
  </r>
  <r>
    <x v="2"/>
    <x v="0"/>
    <x v="1"/>
    <x v="3"/>
  </r>
  <r>
    <x v="2"/>
    <x v="0"/>
    <x v="2"/>
    <x v="4"/>
  </r>
  <r>
    <x v="3"/>
    <x v="2"/>
    <x v="2"/>
    <x v="5"/>
  </r>
  <r>
    <x v="2"/>
    <x v="1"/>
    <x v="1"/>
    <x v="6"/>
  </r>
  <r>
    <x v="0"/>
    <x v="2"/>
    <x v="1"/>
    <x v="7"/>
  </r>
  <r>
    <x v="3"/>
    <x v="2"/>
    <x v="0"/>
    <x v="8"/>
  </r>
  <r>
    <x v="3"/>
    <x v="0"/>
    <x v="0"/>
    <x v="9"/>
  </r>
  <r>
    <x v="4"/>
    <x v="1"/>
    <x v="0"/>
    <x v="10"/>
  </r>
  <r>
    <x v="3"/>
    <x v="2"/>
    <x v="1"/>
    <x v="11"/>
  </r>
  <r>
    <x v="3"/>
    <x v="1"/>
    <x v="2"/>
    <x v="12"/>
  </r>
  <r>
    <x v="1"/>
    <x v="1"/>
    <x v="2"/>
    <x v="13"/>
  </r>
  <r>
    <x v="5"/>
    <x v="0"/>
    <x v="2"/>
    <x v="14"/>
  </r>
  <r>
    <x v="1"/>
    <x v="0"/>
    <x v="0"/>
    <x v="15"/>
  </r>
  <r>
    <x v="2"/>
    <x v="2"/>
    <x v="1"/>
    <x v="16"/>
  </r>
  <r>
    <x v="2"/>
    <x v="2"/>
    <x v="1"/>
    <x v="17"/>
  </r>
  <r>
    <x v="1"/>
    <x v="0"/>
    <x v="2"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n v="11000"/>
  </r>
  <r>
    <x v="1"/>
    <x v="1"/>
    <x v="0"/>
    <n v="11900"/>
  </r>
  <r>
    <x v="0"/>
    <x v="2"/>
    <x v="0"/>
    <n v="16400"/>
  </r>
  <r>
    <x v="2"/>
    <x v="0"/>
    <x v="1"/>
    <n v="17500"/>
  </r>
  <r>
    <x v="2"/>
    <x v="0"/>
    <x v="2"/>
    <n v="17600"/>
  </r>
  <r>
    <x v="3"/>
    <x v="2"/>
    <x v="2"/>
    <n v="18200"/>
  </r>
  <r>
    <x v="2"/>
    <x v="1"/>
    <x v="1"/>
    <n v="18400"/>
  </r>
  <r>
    <x v="0"/>
    <x v="2"/>
    <x v="1"/>
    <n v="20000"/>
  </r>
  <r>
    <x v="3"/>
    <x v="2"/>
    <x v="0"/>
    <n v="20100"/>
  </r>
  <r>
    <x v="3"/>
    <x v="0"/>
    <x v="0"/>
    <n v="21400"/>
  </r>
  <r>
    <x v="4"/>
    <x v="1"/>
    <x v="0"/>
    <n v="23000"/>
  </r>
  <r>
    <x v="3"/>
    <x v="2"/>
    <x v="1"/>
    <n v="23400"/>
  </r>
  <r>
    <x v="3"/>
    <x v="1"/>
    <x v="2"/>
    <n v="24500"/>
  </r>
  <r>
    <x v="1"/>
    <x v="1"/>
    <x v="2"/>
    <n v="25500"/>
  </r>
  <r>
    <x v="5"/>
    <x v="0"/>
    <x v="2"/>
    <n v="30000"/>
  </r>
  <r>
    <x v="1"/>
    <x v="0"/>
    <x v="0"/>
    <n v="30600"/>
  </r>
  <r>
    <x v="2"/>
    <x v="2"/>
    <x v="1"/>
    <n v="34600"/>
  </r>
  <r>
    <x v="2"/>
    <x v="2"/>
    <x v="1"/>
    <n v="35000"/>
  </r>
  <r>
    <x v="1"/>
    <x v="0"/>
    <x v="2"/>
    <n v="37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0FE8C-39F8-424B-B5BD-B85F1A1BD4B1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itemPrintTitles="1" createdVersion="1" indent="0" compact="0" compactData="0" gridDropZones="1">
  <location ref="G26:K31" firstHeaderRow="1" firstDataRow="2" firstDataCol="1"/>
  <pivotFields count="4">
    <pivotField compact="0" outline="0" showAll="0" includeNewItemsInFilter="1">
      <items count="7">
        <item x="3"/>
        <item x="2"/>
        <item x="1"/>
        <item x="0"/>
        <item x="5"/>
        <item x="4"/>
        <item t="default"/>
      </items>
    </pivotField>
    <pivotField axis="axisCol" compact="0" outline="0" showAll="0" includeNewItemsInFilter="1">
      <items count="4">
        <item x="0"/>
        <item x="1"/>
        <item x="2"/>
        <item t="default"/>
      </items>
    </pivotField>
    <pivotField axis="axisRow" compact="0" outline="0" showAll="0" includeNewItemsInFilter="1">
      <items count="4">
        <item x="2"/>
        <item x="0"/>
        <item x="1"/>
        <item t="default"/>
      </items>
    </pivotField>
    <pivotField dataField="1" compact="0" numFmtId="169" outline="0" showAll="0" includeNewItemsInFilter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uenta de Valor" fld="3" subtotal="count" baseField="2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DF6160-FA75-4E42-89BC-19AC706B94C3}" name="TablaDinámica4" cacheId="1" dataOnRows="1" applyNumberFormats="0" applyBorderFormats="0" applyFontFormats="0" applyPatternFormats="0" applyAlignmentFormats="0" applyWidthHeightFormats="1" dataCaption="Datos" updatedVersion="8" minRefreshableVersion="3" showMemberPropertyTips="0" useAutoFormatting="1" itemPrintTitles="1" createdVersion="8" indent="0" compact="0" compactData="0" gridDropZones="1">
  <location ref="G39:K44" firstHeaderRow="1" firstDataRow="2" firstDataCol="1" rowPageCount="1" colPageCount="1"/>
  <pivotFields count="4">
    <pivotField axis="axisPage" compact="0" outline="0" showAll="0" includeNewItemsInFilter="1">
      <items count="7">
        <item x="3"/>
        <item x="2"/>
        <item x="1"/>
        <item x="0"/>
        <item x="5"/>
        <item x="4"/>
        <item t="default"/>
      </items>
    </pivotField>
    <pivotField axis="axisRow" compact="0" outline="0" showAll="0" includeNewItemsInFilter="1">
      <items count="4">
        <item x="0"/>
        <item x="1"/>
        <item x="2"/>
        <item t="default"/>
      </items>
    </pivotField>
    <pivotField axis="axisCol" compact="0" outline="0" showAll="0" includeNewItemsInFilter="1">
      <items count="4">
        <item x="2"/>
        <item x="0"/>
        <item x="1"/>
        <item t="default"/>
      </items>
    </pivotField>
    <pivotField dataField="1" compact="0" numFmtId="166" outline="0" showAll="0" includeNewItemsInFilter="1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1">
    <dataField name="Suma de Valor" fld="3" baseField="0" baseItem="0" numFmtId="166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C355DB02-0C82-4565-9515-2D0B27A5A7C2}" sourceName="Mes">
  <pivotTables>
    <pivotTable tabId="23" name="TablaDinámica4"/>
  </pivotTables>
  <data>
    <tabular pivotCacheId="1441163058">
      <items count="6">
        <i x="3" s="1"/>
        <i x="2" s="1"/>
        <i x="1" s="1"/>
        <i x="0" s="1"/>
        <i x="5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DA93CF38-4C16-4E87-B9E0-330AFE949238}" cache="SegmentaciónDeDatos_Mes" caption="Mes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1ACFD8-48B9-4DB5-8702-3BD77B166F42}" name="Tabla1" displayName="Tabla1" ref="A14:I91" totalsRowShown="0" headerRowBorderDxfId="18" tableBorderDxfId="17" totalsRowBorderDxfId="16">
  <autoFilter ref="A14:I91" xr:uid="{C71ACFD8-48B9-4DB5-8702-3BD77B166F42}">
    <filterColumn colId="3">
      <filters>
        <filter val="BEBIDAS"/>
      </filters>
    </filterColumn>
    <filterColumn colId="4">
      <filters>
        <filter val="ALEMANIA"/>
      </filters>
    </filterColumn>
    <filterColumn colId="5">
      <filters>
        <filter val="2,494"/>
        <filter val="3,000"/>
      </filters>
    </filterColumn>
  </autoFilter>
  <tableColumns count="9">
    <tableColumn id="1" xr3:uid="{C8399511-D979-4191-A523-487F995FA2C7}" name="CODIGO" dataDxfId="15" dataCellStyle="Normal_Hoja1"/>
    <tableColumn id="2" xr3:uid="{71E2182E-5D47-4FD0-8399-E190A2B5C8B6}" name="NOMBRE DE PRODUCTO" dataDxfId="14" dataCellStyle="Normal_Hoja1"/>
    <tableColumn id="3" xr3:uid="{76E2AA21-1479-4404-A975-2479872D6552}" name="PROVEEDOR" dataDxfId="13" dataCellStyle="Normal_Hoja1"/>
    <tableColumn id="4" xr3:uid="{A727D9FE-9883-4451-A389-22D4C9BAFB55}" name="CATEGORÍA" dataDxfId="12" dataCellStyle="Normal_Hoja1"/>
    <tableColumn id="5" xr3:uid="{726536D8-37D8-4F10-BA8E-ABAFB9AA6D62}" name="PAIS ORIGEN" dataDxfId="11" dataCellStyle="Normal_Hoja1"/>
    <tableColumn id="6" xr3:uid="{E182979D-97DD-4D67-B688-1F9B177C3715}" name="STOCK" dataDxfId="10" dataCellStyle="Millares"/>
    <tableColumn id="7" xr3:uid="{00CD18CB-F474-495C-A027-1314429F6DEF}" name="PRECIO US$" dataDxfId="9" dataCellStyle="Normal_Hoja1"/>
    <tableColumn id="8" xr3:uid="{04CE373A-73D9-4E0E-B521-801D174B12EE}" name="PRECIO $" dataDxfId="8" dataCellStyle="Millares">
      <calculatedColumnFormula>G15*$L$14</calculatedColumnFormula>
    </tableColumn>
    <tableColumn id="9" xr3:uid="{60D39430-E31E-413D-8C03-46A06EF78002}" name="Stock valor" dataDxfId="7" dataCellStyle="Millares">
      <calculatedColumnFormula>F15*H15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MPG">
      <a:dk1>
        <a:srgbClr val="466EA5"/>
      </a:dk1>
      <a:lt1>
        <a:srgbClr val="FFFFFF"/>
      </a:lt1>
      <a:dk2>
        <a:srgbClr val="6390C6"/>
      </a:dk2>
      <a:lt2>
        <a:srgbClr val="FFFFFF"/>
      </a:lt2>
      <a:accent1>
        <a:srgbClr val="466EA5"/>
      </a:accent1>
      <a:accent2>
        <a:srgbClr val="6390C6"/>
      </a:accent2>
      <a:accent3>
        <a:srgbClr val="6E8F82"/>
      </a:accent3>
      <a:accent4>
        <a:srgbClr val="AB404B"/>
      </a:accent4>
      <a:accent5>
        <a:srgbClr val="C46D24"/>
      </a:accent5>
      <a:accent6>
        <a:srgbClr val="67696F"/>
      </a:accent6>
      <a:hlink>
        <a:srgbClr val="6390C6"/>
      </a:hlink>
      <a:folHlink>
        <a:srgbClr val="6E8F8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22FD-DF3D-46A6-B2C3-6E00F9213C55}">
  <sheetPr codeName="Hoja2"/>
  <dimension ref="C2:M24"/>
  <sheetViews>
    <sheetView showGridLines="0" topLeftCell="A4" zoomScale="98" zoomScaleNormal="98" workbookViewId="0">
      <selection activeCell="C26" sqref="C26"/>
    </sheetView>
  </sheetViews>
  <sheetFormatPr baseColWidth="10" defaultRowHeight="14.4" x14ac:dyDescent="0.3"/>
  <cols>
    <col min="2" max="2" width="8.5546875" customWidth="1"/>
    <col min="3" max="3" width="21.6640625" customWidth="1"/>
    <col min="4" max="4" width="20" customWidth="1"/>
    <col min="5" max="5" width="5.5546875" customWidth="1"/>
    <col min="12" max="12" width="19.109375" customWidth="1"/>
    <col min="13" max="13" width="11.44140625" style="71" hidden="1" customWidth="1"/>
  </cols>
  <sheetData>
    <row r="2" spans="3:13" ht="23.4" x14ac:dyDescent="0.45">
      <c r="C2" s="17" t="s">
        <v>496</v>
      </c>
    </row>
    <row r="3" spans="3:13" x14ac:dyDescent="0.3">
      <c r="C3" s="10" t="s">
        <v>493</v>
      </c>
    </row>
    <row r="5" spans="3:13" ht="36.75" customHeight="1" x14ac:dyDescent="0.3">
      <c r="C5" s="18"/>
      <c r="M5" s="72" t="s">
        <v>502</v>
      </c>
    </row>
    <row r="6" spans="3:13" x14ac:dyDescent="0.3">
      <c r="C6" s="48" t="s">
        <v>63</v>
      </c>
      <c r="D6" s="49"/>
      <c r="E6" s="50"/>
      <c r="F6" s="49"/>
      <c r="G6" s="49"/>
      <c r="H6" s="49"/>
      <c r="I6" s="49"/>
      <c r="J6" s="49"/>
      <c r="K6" s="51"/>
      <c r="M6" s="72"/>
    </row>
    <row r="7" spans="3:13" ht="18.75" customHeight="1" x14ac:dyDescent="0.3">
      <c r="C7" s="52"/>
      <c r="E7" s="47">
        <v>10</v>
      </c>
      <c r="F7" s="61" t="s">
        <v>499</v>
      </c>
      <c r="K7" s="53"/>
      <c r="M7" s="73">
        <v>10</v>
      </c>
    </row>
    <row r="8" spans="3:13" ht="18.75" customHeight="1" x14ac:dyDescent="0.3">
      <c r="C8" s="52"/>
      <c r="E8" s="47">
        <v>5</v>
      </c>
      <c r="F8" s="61" t="s">
        <v>499</v>
      </c>
      <c r="K8" s="53"/>
      <c r="M8" s="73">
        <v>5</v>
      </c>
    </row>
    <row r="9" spans="3:13" ht="18.75" customHeight="1" x14ac:dyDescent="0.3">
      <c r="C9" s="52"/>
      <c r="E9" s="47">
        <v>10</v>
      </c>
      <c r="F9" s="61" t="s">
        <v>499</v>
      </c>
      <c r="K9" s="53"/>
      <c r="M9" s="73">
        <v>10</v>
      </c>
    </row>
    <row r="10" spans="3:13" ht="18.75" customHeight="1" x14ac:dyDescent="0.3">
      <c r="C10" s="54" t="s">
        <v>64</v>
      </c>
      <c r="E10" s="47"/>
      <c r="F10" s="10"/>
      <c r="K10" s="53"/>
      <c r="M10" s="73"/>
    </row>
    <row r="11" spans="3:13" ht="18.75" customHeight="1" x14ac:dyDescent="0.3">
      <c r="C11" s="52"/>
      <c r="E11" s="47">
        <v>10</v>
      </c>
      <c r="F11" s="61" t="s">
        <v>499</v>
      </c>
      <c r="K11" s="53"/>
      <c r="M11" s="73">
        <v>10</v>
      </c>
    </row>
    <row r="12" spans="3:13" ht="18.75" customHeight="1" x14ac:dyDescent="0.3">
      <c r="C12" s="52"/>
      <c r="E12" s="47">
        <v>15</v>
      </c>
      <c r="F12" s="61" t="s">
        <v>499</v>
      </c>
      <c r="K12" s="53"/>
      <c r="M12" s="73">
        <v>15</v>
      </c>
    </row>
    <row r="13" spans="3:13" ht="18.75" customHeight="1" x14ac:dyDescent="0.3">
      <c r="C13" s="52"/>
      <c r="E13" s="47">
        <v>15</v>
      </c>
      <c r="F13" s="61" t="s">
        <v>499</v>
      </c>
      <c r="K13" s="53"/>
      <c r="M13" s="73">
        <v>15</v>
      </c>
    </row>
    <row r="14" spans="3:13" ht="18.75" customHeight="1" x14ac:dyDescent="0.3">
      <c r="C14" s="54" t="s">
        <v>65</v>
      </c>
      <c r="E14" s="47"/>
      <c r="F14" s="61"/>
      <c r="K14" s="53"/>
      <c r="M14" s="73"/>
    </row>
    <row r="15" spans="3:13" ht="18.75" customHeight="1" x14ac:dyDescent="0.3">
      <c r="C15" s="52"/>
      <c r="E15" s="47"/>
      <c r="F15" s="61"/>
      <c r="K15" s="53"/>
      <c r="M15" s="73">
        <v>15</v>
      </c>
    </row>
    <row r="16" spans="3:13" ht="18.75" customHeight="1" x14ac:dyDescent="0.3">
      <c r="C16" s="52"/>
      <c r="E16" s="47"/>
      <c r="F16" s="61"/>
      <c r="K16" s="53"/>
      <c r="M16" s="73">
        <v>20</v>
      </c>
    </row>
    <row r="17" spans="3:13" ht="18.75" customHeight="1" x14ac:dyDescent="0.3">
      <c r="C17" s="52"/>
      <c r="E17" s="47"/>
      <c r="F17" s="61"/>
      <c r="K17" s="53"/>
      <c r="M17" s="73">
        <v>40</v>
      </c>
    </row>
    <row r="18" spans="3:13" x14ac:dyDescent="0.3">
      <c r="C18" s="55"/>
      <c r="D18" s="56"/>
      <c r="E18" s="57"/>
      <c r="F18" s="56"/>
      <c r="G18" s="56"/>
      <c r="H18" s="56"/>
      <c r="I18" s="56"/>
      <c r="J18" s="56"/>
      <c r="K18" s="58"/>
    </row>
    <row r="20" spans="3:13" x14ac:dyDescent="0.3">
      <c r="C20" s="59" t="s">
        <v>501</v>
      </c>
      <c r="D20" s="65"/>
      <c r="E20" s="66"/>
      <c r="F20" s="67"/>
    </row>
    <row r="21" spans="3:13" ht="6" customHeight="1" x14ac:dyDescent="0.3">
      <c r="C21" s="59"/>
      <c r="D21" s="62"/>
    </row>
    <row r="22" spans="3:13" x14ac:dyDescent="0.3">
      <c r="C22" s="59" t="s">
        <v>497</v>
      </c>
      <c r="D22" s="138"/>
      <c r="E22" s="139"/>
      <c r="F22" s="139"/>
      <c r="G22" s="139"/>
      <c r="H22" s="139"/>
      <c r="I22" s="140"/>
    </row>
    <row r="23" spans="3:13" ht="6" customHeight="1" x14ac:dyDescent="0.3">
      <c r="C23" s="59"/>
      <c r="D23" s="64"/>
      <c r="E23" s="63"/>
      <c r="F23" s="63"/>
      <c r="G23" s="63"/>
      <c r="H23" s="63"/>
      <c r="I23" s="63"/>
    </row>
    <row r="24" spans="3:13" x14ac:dyDescent="0.3">
      <c r="C24" s="59" t="s">
        <v>500</v>
      </c>
      <c r="D24" s="141"/>
      <c r="E24" s="142"/>
      <c r="F24" s="143"/>
    </row>
  </sheetData>
  <mergeCells count="2">
    <mergeCell ref="D22:I22"/>
    <mergeCell ref="D24:F2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8" r:id="rId3" name="Macro2">
          <controlPr defaultSize="0" autoLine="0" r:id="rId4">
            <anchor moveWithCells="1">
              <from>
                <xdr:col>2</xdr:col>
                <xdr:colOff>213360</xdr:colOff>
                <xdr:row>15</xdr:row>
                <xdr:rowOff>213360</xdr:rowOff>
              </from>
              <to>
                <xdr:col>3</xdr:col>
                <xdr:colOff>952500</xdr:colOff>
                <xdr:row>16</xdr:row>
                <xdr:rowOff>175260</xdr:rowOff>
              </to>
            </anchor>
          </controlPr>
        </control>
      </mc:Choice>
      <mc:Fallback>
        <control shapeId="11278" r:id="rId3" name="Macro2"/>
      </mc:Fallback>
    </mc:AlternateContent>
    <mc:AlternateContent xmlns:mc="http://schemas.openxmlformats.org/markup-compatibility/2006">
      <mc:Choice Requires="x14">
        <control shapeId="11277" r:id="rId5" name="Macro">
          <controlPr defaultSize="0" autoLine="0" r:id="rId6">
            <anchor moveWithCells="1">
              <from>
                <xdr:col>2</xdr:col>
                <xdr:colOff>213360</xdr:colOff>
                <xdr:row>15</xdr:row>
                <xdr:rowOff>22860</xdr:rowOff>
              </from>
              <to>
                <xdr:col>3</xdr:col>
                <xdr:colOff>952500</xdr:colOff>
                <xdr:row>16</xdr:row>
                <xdr:rowOff>22860</xdr:rowOff>
              </to>
            </anchor>
          </controlPr>
        </control>
      </mc:Choice>
      <mc:Fallback>
        <control shapeId="11277" r:id="rId5" name="Macro"/>
      </mc:Fallback>
    </mc:AlternateContent>
    <mc:AlternateContent xmlns:mc="http://schemas.openxmlformats.org/markup-compatibility/2006">
      <mc:Choice Requires="x14">
        <control shapeId="11276" r:id="rId7" name="Tabla2">
          <controlPr defaultSize="0" autoLine="0" r:id="rId8">
            <anchor moveWithCells="1">
              <from>
                <xdr:col>2</xdr:col>
                <xdr:colOff>213360</xdr:colOff>
                <xdr:row>13</xdr:row>
                <xdr:rowOff>220980</xdr:rowOff>
              </from>
              <to>
                <xdr:col>3</xdr:col>
                <xdr:colOff>952500</xdr:colOff>
                <xdr:row>15</xdr:row>
                <xdr:rowOff>22860</xdr:rowOff>
              </to>
            </anchor>
          </controlPr>
        </control>
      </mc:Choice>
      <mc:Fallback>
        <control shapeId="11276" r:id="rId7" name="Tabla2"/>
      </mc:Fallback>
    </mc:AlternateContent>
    <mc:AlternateContent xmlns:mc="http://schemas.openxmlformats.org/markup-compatibility/2006">
      <mc:Choice Requires="x14">
        <control shapeId="11275" r:id="rId9" name="Tabla1">
          <controlPr defaultSize="0" autoLine="0" r:id="rId10">
            <anchor moveWithCells="1">
              <from>
                <xdr:col>2</xdr:col>
                <xdr:colOff>213360</xdr:colOff>
                <xdr:row>11</xdr:row>
                <xdr:rowOff>198120</xdr:rowOff>
              </from>
              <to>
                <xdr:col>3</xdr:col>
                <xdr:colOff>952500</xdr:colOff>
                <xdr:row>12</xdr:row>
                <xdr:rowOff>190500</xdr:rowOff>
              </to>
            </anchor>
          </controlPr>
        </control>
      </mc:Choice>
      <mc:Fallback>
        <control shapeId="11275" r:id="rId9" name="Tabla1"/>
      </mc:Fallback>
    </mc:AlternateContent>
    <mc:AlternateContent xmlns:mc="http://schemas.openxmlformats.org/markup-compatibility/2006">
      <mc:Choice Requires="x14">
        <control shapeId="11274" r:id="rId11" name="BuscarV">
          <controlPr defaultSize="0" autoLine="0" r:id="rId12">
            <anchor moveWithCells="1">
              <from>
                <xdr:col>2</xdr:col>
                <xdr:colOff>213360</xdr:colOff>
                <xdr:row>10</xdr:row>
                <xdr:rowOff>220980</xdr:rowOff>
              </from>
              <to>
                <xdr:col>3</xdr:col>
                <xdr:colOff>952500</xdr:colOff>
                <xdr:row>11</xdr:row>
                <xdr:rowOff>213360</xdr:rowOff>
              </to>
            </anchor>
          </controlPr>
        </control>
      </mc:Choice>
      <mc:Fallback>
        <control shapeId="11274" r:id="rId11" name="BuscarV"/>
      </mc:Fallback>
    </mc:AlternateContent>
    <mc:AlternateContent xmlns:mc="http://schemas.openxmlformats.org/markup-compatibility/2006">
      <mc:Choice Requires="x14">
        <control shapeId="11273" r:id="rId13" name="Filtro">
          <controlPr defaultSize="0" autoLine="0" r:id="rId14">
            <anchor moveWithCells="1">
              <from>
                <xdr:col>2</xdr:col>
                <xdr:colOff>213360</xdr:colOff>
                <xdr:row>10</xdr:row>
                <xdr:rowOff>30480</xdr:rowOff>
              </from>
              <to>
                <xdr:col>3</xdr:col>
                <xdr:colOff>952500</xdr:colOff>
                <xdr:row>11</xdr:row>
                <xdr:rowOff>0</xdr:rowOff>
              </to>
            </anchor>
          </controlPr>
        </control>
      </mc:Choice>
      <mc:Fallback>
        <control shapeId="11273" r:id="rId13" name="Filtro"/>
      </mc:Fallback>
    </mc:AlternateContent>
    <mc:AlternateContent xmlns:mc="http://schemas.openxmlformats.org/markup-compatibility/2006">
      <mc:Choice Requires="x14">
        <control shapeId="11271" r:id="rId15" name="Paneles">
          <controlPr defaultSize="0" autoLine="0" r:id="rId16">
            <anchor moveWithCells="1">
              <from>
                <xdr:col>2</xdr:col>
                <xdr:colOff>198120</xdr:colOff>
                <xdr:row>6</xdr:row>
                <xdr:rowOff>228600</xdr:rowOff>
              </from>
              <to>
                <xdr:col>3</xdr:col>
                <xdr:colOff>929640</xdr:colOff>
                <xdr:row>7</xdr:row>
                <xdr:rowOff>213360</xdr:rowOff>
              </to>
            </anchor>
          </controlPr>
        </control>
      </mc:Choice>
      <mc:Fallback>
        <control shapeId="11271" r:id="rId15" name="Paneles"/>
      </mc:Fallback>
    </mc:AlternateContent>
    <mc:AlternateContent xmlns:mc="http://schemas.openxmlformats.org/markup-compatibility/2006">
      <mc:Choice Requires="x14">
        <control shapeId="11270" r:id="rId17" name="FormatoCondicional">
          <controlPr defaultSize="0" autoLine="0" r:id="rId18">
            <anchor moveWithCells="1">
              <from>
                <xdr:col>2</xdr:col>
                <xdr:colOff>198120</xdr:colOff>
                <xdr:row>7</xdr:row>
                <xdr:rowOff>220980</xdr:rowOff>
              </from>
              <to>
                <xdr:col>3</xdr:col>
                <xdr:colOff>617220</xdr:colOff>
                <xdr:row>8</xdr:row>
                <xdr:rowOff>213360</xdr:rowOff>
              </to>
            </anchor>
          </controlPr>
        </control>
      </mc:Choice>
      <mc:Fallback>
        <control shapeId="11270" r:id="rId17" name="FormatoCondicional"/>
      </mc:Fallback>
    </mc:AlternateContent>
    <mc:AlternateContent xmlns:mc="http://schemas.openxmlformats.org/markup-compatibility/2006">
      <mc:Choice Requires="x14">
        <control shapeId="11268" r:id="rId19" name="Fórmulas">
          <controlPr defaultSize="0" autoLine="0" r:id="rId20">
            <anchor moveWithCells="1">
              <from>
                <xdr:col>2</xdr:col>
                <xdr:colOff>213360</xdr:colOff>
                <xdr:row>5</xdr:row>
                <xdr:rowOff>175260</xdr:rowOff>
              </from>
              <to>
                <xdr:col>3</xdr:col>
                <xdr:colOff>304800</xdr:colOff>
                <xdr:row>6</xdr:row>
                <xdr:rowOff>228600</xdr:rowOff>
              </to>
            </anchor>
          </controlPr>
        </control>
      </mc:Choice>
      <mc:Fallback>
        <control shapeId="11268" r:id="rId19" name="Fórmul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24248-2CD5-410B-889B-BE49DE1EA714}">
  <sheetPr codeName="Hoja4"/>
  <dimension ref="B6:M30"/>
  <sheetViews>
    <sheetView showGridLines="0" topLeftCell="A7" zoomScale="115" zoomScaleNormal="115" workbookViewId="0">
      <selection activeCell="B34" sqref="B34"/>
    </sheetView>
  </sheetViews>
  <sheetFormatPr baseColWidth="10" defaultRowHeight="14.4" x14ac:dyDescent="0.3"/>
  <cols>
    <col min="6" max="6" width="12.44140625" customWidth="1"/>
    <col min="7" max="7" width="11.44140625" customWidth="1"/>
    <col min="12" max="12" width="8" customWidth="1"/>
  </cols>
  <sheetData>
    <row r="6" spans="2:13" ht="15" customHeight="1" x14ac:dyDescent="0.3">
      <c r="L6" s="69"/>
    </row>
    <row r="7" spans="2:13" ht="15" customHeight="1" x14ac:dyDescent="0.3">
      <c r="K7" s="146">
        <f>+H30</f>
        <v>0</v>
      </c>
      <c r="L7" s="69"/>
    </row>
    <row r="8" spans="2:13" ht="15" customHeight="1" x14ac:dyDescent="0.3">
      <c r="B8" s="5" t="s">
        <v>19</v>
      </c>
      <c r="J8" s="70" t="s">
        <v>514</v>
      </c>
      <c r="K8" s="147"/>
      <c r="L8" s="69"/>
      <c r="M8" s="68"/>
    </row>
    <row r="9" spans="2:13" x14ac:dyDescent="0.3">
      <c r="K9" s="148"/>
    </row>
    <row r="11" spans="2:13" ht="21.75" customHeight="1" x14ac:dyDescent="0.3">
      <c r="B11" s="4" t="s">
        <v>498</v>
      </c>
      <c r="E11" s="149"/>
      <c r="F11" s="149"/>
      <c r="G11" s="149"/>
      <c r="H11" s="149"/>
      <c r="I11" s="149"/>
    </row>
    <row r="12" spans="2:13" ht="12" customHeight="1" x14ac:dyDescent="0.3"/>
    <row r="13" spans="2:13" ht="21.75" customHeight="1" x14ac:dyDescent="0.3">
      <c r="B13" s="4" t="s">
        <v>17</v>
      </c>
      <c r="E13" s="150"/>
      <c r="F13" s="150"/>
      <c r="G13" s="150"/>
      <c r="H13" s="150"/>
      <c r="I13" s="150"/>
    </row>
    <row r="14" spans="2:13" ht="12" customHeight="1" x14ac:dyDescent="0.3"/>
    <row r="15" spans="2:13" ht="21.75" customHeight="1" x14ac:dyDescent="0.3">
      <c r="B15" s="4" t="s">
        <v>16</v>
      </c>
      <c r="E15" s="150"/>
      <c r="F15" s="150"/>
      <c r="G15" s="150"/>
      <c r="H15" s="150"/>
      <c r="I15" s="150"/>
    </row>
    <row r="17" spans="2:9" ht="15.6" x14ac:dyDescent="0.3">
      <c r="B17" s="4" t="s">
        <v>18</v>
      </c>
      <c r="E17" s="46"/>
      <c r="F17" s="46"/>
      <c r="G17" s="46"/>
      <c r="H17" s="46"/>
      <c r="I17" s="46"/>
    </row>
    <row r="20" spans="2:9" ht="33.75" customHeight="1" x14ac:dyDescent="0.3">
      <c r="E20" s="151" t="s">
        <v>503</v>
      </c>
      <c r="F20" s="151"/>
      <c r="G20" s="80" t="s">
        <v>504</v>
      </c>
      <c r="H20" s="80" t="s">
        <v>515</v>
      </c>
    </row>
    <row r="21" spans="2:9" x14ac:dyDescent="0.3">
      <c r="E21" s="152" t="s">
        <v>505</v>
      </c>
      <c r="F21" s="144"/>
      <c r="G21" s="78">
        <v>3</v>
      </c>
      <c r="H21" s="79"/>
    </row>
    <row r="22" spans="2:9" x14ac:dyDescent="0.3">
      <c r="E22" s="144" t="s">
        <v>506</v>
      </c>
      <c r="F22" s="145"/>
      <c r="G22" s="78">
        <v>2</v>
      </c>
      <c r="H22" s="79"/>
    </row>
    <row r="23" spans="2:9" x14ac:dyDescent="0.3">
      <c r="E23" s="144" t="s">
        <v>507</v>
      </c>
      <c r="F23" s="145"/>
      <c r="G23" s="78">
        <v>2</v>
      </c>
      <c r="H23" s="79"/>
    </row>
    <row r="24" spans="2:9" x14ac:dyDescent="0.3">
      <c r="E24" s="144" t="s">
        <v>508</v>
      </c>
      <c r="F24" s="145"/>
      <c r="G24" s="78">
        <v>3</v>
      </c>
      <c r="H24" s="79"/>
    </row>
    <row r="25" spans="2:9" x14ac:dyDescent="0.3">
      <c r="E25" s="144" t="s">
        <v>509</v>
      </c>
      <c r="F25" s="145"/>
      <c r="G25" s="78">
        <v>4</v>
      </c>
      <c r="H25" s="79"/>
    </row>
    <row r="26" spans="2:9" x14ac:dyDescent="0.3">
      <c r="E26" s="144" t="s">
        <v>510</v>
      </c>
      <c r="F26" s="145"/>
      <c r="G26" s="78">
        <v>4</v>
      </c>
      <c r="H26" s="79"/>
    </row>
    <row r="27" spans="2:9" x14ac:dyDescent="0.3">
      <c r="E27" s="144" t="s">
        <v>511</v>
      </c>
      <c r="F27" s="145"/>
      <c r="G27" s="78">
        <v>5</v>
      </c>
      <c r="H27" s="79"/>
    </row>
    <row r="28" spans="2:9" x14ac:dyDescent="0.3">
      <c r="E28" s="144" t="s">
        <v>512</v>
      </c>
      <c r="F28" s="145"/>
      <c r="G28" s="78">
        <v>7</v>
      </c>
      <c r="H28" s="79"/>
    </row>
    <row r="29" spans="2:9" x14ac:dyDescent="0.3">
      <c r="E29" s="144" t="s">
        <v>513</v>
      </c>
      <c r="F29" s="145"/>
      <c r="G29" s="78">
        <v>8</v>
      </c>
      <c r="H29" s="79"/>
    </row>
    <row r="30" spans="2:9" x14ac:dyDescent="0.3">
      <c r="G30" s="77">
        <f>SUM(G21:G29)</f>
        <v>38</v>
      </c>
      <c r="H30" s="77">
        <f>SUM(H21:H29)</f>
        <v>0</v>
      </c>
    </row>
  </sheetData>
  <sheetProtection selectLockedCells="1"/>
  <mergeCells count="14">
    <mergeCell ref="E27:F27"/>
    <mergeCell ref="E28:F28"/>
    <mergeCell ref="E29:F29"/>
    <mergeCell ref="E26:F26"/>
    <mergeCell ref="K7:K9"/>
    <mergeCell ref="E22:F22"/>
    <mergeCell ref="E23:F23"/>
    <mergeCell ref="E24:F24"/>
    <mergeCell ref="E25:F25"/>
    <mergeCell ref="E11:I11"/>
    <mergeCell ref="E13:I13"/>
    <mergeCell ref="E15:I15"/>
    <mergeCell ref="E20:F20"/>
    <mergeCell ref="E21:F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7BA99-3F78-4394-992F-14CE3116E15C}">
  <sheetPr codeName="Hoja3"/>
  <dimension ref="A1:F23"/>
  <sheetViews>
    <sheetView showGridLines="0" zoomScale="115" zoomScaleNormal="115" workbookViewId="0">
      <selection activeCell="F27" sqref="F27"/>
    </sheetView>
  </sheetViews>
  <sheetFormatPr baseColWidth="10" defaultColWidth="11.44140625" defaultRowHeight="13.8" x14ac:dyDescent="0.3"/>
  <cols>
    <col min="1" max="1" width="11.44140625" style="37"/>
    <col min="2" max="2" width="10.5546875" style="37" customWidth="1"/>
    <col min="3" max="3" width="15.6640625" style="37" customWidth="1"/>
    <col min="4" max="4" width="17.109375" style="37" customWidth="1"/>
    <col min="5" max="5" width="25.109375" style="37" customWidth="1"/>
    <col min="6" max="8" width="11" style="37" customWidth="1"/>
    <col min="9" max="16384" width="11.44140625" style="37"/>
  </cols>
  <sheetData>
    <row r="1" spans="1:2" s="38" customFormat="1" x14ac:dyDescent="0.3"/>
    <row r="2" spans="1:2" s="38" customFormat="1" x14ac:dyDescent="0.3"/>
    <row r="3" spans="1:2" s="38" customFormat="1" x14ac:dyDescent="0.3"/>
    <row r="4" spans="1:2" s="38" customFormat="1" x14ac:dyDescent="0.3"/>
    <row r="5" spans="1:2" s="38" customFormat="1" x14ac:dyDescent="0.3"/>
    <row r="6" spans="1:2" s="38" customFormat="1" x14ac:dyDescent="0.3"/>
    <row r="7" spans="1:2" ht="14.4" x14ac:dyDescent="0.3">
      <c r="A7"/>
      <c r="B7" s="39"/>
    </row>
    <row r="8" spans="1:2" ht="14.4" x14ac:dyDescent="0.3">
      <c r="A8"/>
      <c r="B8" s="39">
        <v>2</v>
      </c>
    </row>
    <row r="9" spans="1:2" ht="14.4" x14ac:dyDescent="0.3">
      <c r="A9"/>
      <c r="B9" s="39">
        <v>2</v>
      </c>
    </row>
    <row r="10" spans="1:2" ht="14.4" x14ac:dyDescent="0.3">
      <c r="A10"/>
      <c r="B10" s="39">
        <v>2</v>
      </c>
    </row>
    <row r="11" spans="1:2" ht="14.4" x14ac:dyDescent="0.3">
      <c r="A11"/>
      <c r="B11" s="39"/>
    </row>
    <row r="12" spans="1:2" ht="14.4" x14ac:dyDescent="0.3">
      <c r="A12"/>
      <c r="B12" s="39"/>
    </row>
    <row r="13" spans="1:2" x14ac:dyDescent="0.3">
      <c r="B13" s="39"/>
    </row>
    <row r="18" spans="1:6" ht="13.2" customHeight="1" x14ac:dyDescent="0.3">
      <c r="A18" s="114" t="s">
        <v>520</v>
      </c>
      <c r="B18" s="114" t="s">
        <v>521</v>
      </c>
      <c r="C18" s="114" t="s">
        <v>522</v>
      </c>
      <c r="D18" s="114" t="s">
        <v>523</v>
      </c>
      <c r="E18" s="114" t="s">
        <v>524</v>
      </c>
      <c r="F18" s="114" t="s">
        <v>525</v>
      </c>
    </row>
    <row r="19" spans="1:6" x14ac:dyDescent="0.3">
      <c r="A19" s="114" t="s">
        <v>526</v>
      </c>
      <c r="B19" s="114">
        <v>10</v>
      </c>
      <c r="C19" s="114">
        <v>180</v>
      </c>
      <c r="D19" s="114">
        <f>B19*C19</f>
        <v>1800</v>
      </c>
      <c r="E19" s="114">
        <f>18%*D19</f>
        <v>324</v>
      </c>
      <c r="F19" s="114">
        <f>SUM(D19:E19)</f>
        <v>2124</v>
      </c>
    </row>
    <row r="20" spans="1:6" x14ac:dyDescent="0.3">
      <c r="A20" s="114" t="s">
        <v>527</v>
      </c>
      <c r="B20" s="114">
        <v>20</v>
      </c>
      <c r="C20" s="114">
        <v>135</v>
      </c>
      <c r="D20" s="114">
        <f t="shared" ref="D20:D22" si="0">B20*C20</f>
        <v>2700</v>
      </c>
      <c r="E20" s="114">
        <f t="shared" ref="E20:E22" si="1">18%*D20</f>
        <v>486</v>
      </c>
      <c r="F20" s="114">
        <f t="shared" ref="F20:F22" si="2">SUM(D20:E20)</f>
        <v>3186</v>
      </c>
    </row>
    <row r="21" spans="1:6" x14ac:dyDescent="0.3">
      <c r="A21" s="114" t="s">
        <v>528</v>
      </c>
      <c r="B21" s="114">
        <v>145</v>
      </c>
      <c r="C21" s="114">
        <v>21</v>
      </c>
      <c r="D21" s="114">
        <f t="shared" si="0"/>
        <v>3045</v>
      </c>
      <c r="E21" s="114">
        <f t="shared" si="1"/>
        <v>548.1</v>
      </c>
      <c r="F21" s="114">
        <f t="shared" si="2"/>
        <v>3593.1</v>
      </c>
    </row>
    <row r="22" spans="1:6" x14ac:dyDescent="0.3">
      <c r="A22" s="114" t="s">
        <v>529</v>
      </c>
      <c r="B22" s="114">
        <v>15</v>
      </c>
      <c r="C22" s="114">
        <v>450</v>
      </c>
      <c r="D22" s="114">
        <f t="shared" si="0"/>
        <v>6750</v>
      </c>
      <c r="E22" s="114">
        <f t="shared" si="1"/>
        <v>1215</v>
      </c>
      <c r="F22" s="114">
        <f t="shared" si="2"/>
        <v>7965</v>
      </c>
    </row>
    <row r="23" spans="1:6" x14ac:dyDescent="0.3">
      <c r="C23" s="114" t="s">
        <v>525</v>
      </c>
      <c r="D23" s="114"/>
      <c r="E23" s="114"/>
      <c r="F23" s="114"/>
    </row>
  </sheetData>
  <conditionalFormatting sqref="A8:A10">
    <cfRule type="cellIs" dxfId="29" priority="2" stopIfTrue="1" operator="greaterThan">
      <formula>0</formula>
    </cfRule>
  </conditionalFormatting>
  <conditionalFormatting sqref="A7:A12">
    <cfRule type="expression" dxfId="28" priority="1" stopIfTrue="1">
      <formula>ISNUMBER($A$7:$A$9)</formula>
    </cfRule>
  </conditionalFormatting>
  <pageMargins left="0.75" right="0.75" top="1" bottom="1" header="0" footer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29EB-1DC0-443F-8D4B-E170F98B87D5}">
  <sheetPr codeName="Hoja7">
    <pageSetUpPr fitToPage="1"/>
  </sheetPr>
  <dimension ref="A8:I122"/>
  <sheetViews>
    <sheetView showGridLines="0" topLeftCell="A2" zoomScale="115" zoomScaleNormal="115" workbookViewId="0">
      <pane ySplit="13" topLeftCell="A15" activePane="bottomLeft" state="frozen"/>
      <selection activeCell="A2" sqref="A2"/>
      <selection pane="bottomLeft" activeCell="A15" sqref="A15"/>
    </sheetView>
  </sheetViews>
  <sheetFormatPr baseColWidth="10" defaultColWidth="11.44140625" defaultRowHeight="13.2" x14ac:dyDescent="0.25"/>
  <cols>
    <col min="1" max="1" width="11.109375" style="24" bestFit="1" customWidth="1"/>
    <col min="2" max="2" width="51.88671875" style="24" bestFit="1" customWidth="1"/>
    <col min="3" max="3" width="35.44140625" style="24" bestFit="1" customWidth="1"/>
    <col min="4" max="4" width="9.6640625" style="24" bestFit="1" customWidth="1"/>
    <col min="5" max="5" width="14.33203125" style="24" bestFit="1" customWidth="1"/>
    <col min="6" max="6" width="14.44140625" style="24" bestFit="1" customWidth="1"/>
    <col min="7" max="7" width="14.44140625" style="24" customWidth="1"/>
    <col min="8" max="8" width="11.44140625" style="24" customWidth="1"/>
    <col min="9" max="9" width="16.33203125" style="24" bestFit="1" customWidth="1"/>
    <col min="10" max="10" width="35.44140625" style="24" bestFit="1" customWidth="1"/>
    <col min="11" max="16384" width="11.44140625" style="24"/>
  </cols>
  <sheetData>
    <row r="8" spans="1:9" x14ac:dyDescent="0.25">
      <c r="A8" s="1"/>
    </row>
    <row r="9" spans="1:9" x14ac:dyDescent="0.25">
      <c r="A9" s="1"/>
      <c r="B9" s="28">
        <v>3</v>
      </c>
    </row>
    <row r="10" spans="1:9" x14ac:dyDescent="0.25">
      <c r="A10" s="1"/>
    </row>
    <row r="11" spans="1:9" x14ac:dyDescent="0.25">
      <c r="A11" s="1"/>
    </row>
    <row r="12" spans="1:9" ht="15.6" x14ac:dyDescent="0.3">
      <c r="A12" s="1"/>
      <c r="B12" s="27"/>
      <c r="C12" s="27"/>
    </row>
    <row r="13" spans="1:9" ht="15.6" x14ac:dyDescent="0.3">
      <c r="A13" s="1"/>
      <c r="B13" s="27"/>
      <c r="C13" s="27"/>
    </row>
    <row r="14" spans="1:9" s="26" customFormat="1" ht="20.25" customHeight="1" x14ac:dyDescent="0.25">
      <c r="A14" s="23" t="s">
        <v>339</v>
      </c>
      <c r="B14" s="23" t="s">
        <v>338</v>
      </c>
      <c r="C14" s="23" t="s">
        <v>337</v>
      </c>
      <c r="D14" s="23" t="s">
        <v>117</v>
      </c>
      <c r="E14" s="23" t="s">
        <v>336</v>
      </c>
      <c r="F14" s="23" t="s">
        <v>335</v>
      </c>
      <c r="G14" s="23" t="s">
        <v>334</v>
      </c>
      <c r="H14" s="23" t="s">
        <v>494</v>
      </c>
      <c r="I14" s="23" t="s">
        <v>495</v>
      </c>
    </row>
    <row r="15" spans="1:9" ht="13.8" x14ac:dyDescent="0.3">
      <c r="A15" s="25" t="s">
        <v>333</v>
      </c>
      <c r="B15" s="25" t="s">
        <v>332</v>
      </c>
      <c r="C15" s="25" t="s">
        <v>243</v>
      </c>
      <c r="D15" s="25" t="s">
        <v>217</v>
      </c>
      <c r="E15" s="41">
        <v>42500</v>
      </c>
      <c r="F15" s="41">
        <v>2125</v>
      </c>
      <c r="G15" s="41">
        <v>0</v>
      </c>
      <c r="H15" s="41">
        <f>(E15-F15+G15)*18%</f>
        <v>7267.5</v>
      </c>
      <c r="I15" s="41">
        <f t="shared" ref="I15:I46" si="0">E15+G15-F15+H15</f>
        <v>47642.5</v>
      </c>
    </row>
    <row r="16" spans="1:9" ht="13.8" x14ac:dyDescent="0.3">
      <c r="A16" s="25" t="s">
        <v>331</v>
      </c>
      <c r="B16" s="25" t="s">
        <v>330</v>
      </c>
      <c r="C16" s="25" t="s">
        <v>243</v>
      </c>
      <c r="D16" s="25" t="s">
        <v>217</v>
      </c>
      <c r="E16" s="41">
        <v>28700</v>
      </c>
      <c r="F16" s="41">
        <v>1435</v>
      </c>
      <c r="G16" s="41">
        <v>0</v>
      </c>
      <c r="H16" s="41">
        <f t="shared" ref="H16:H79" si="1">(E16-F16+G16)*18%</f>
        <v>4907.7</v>
      </c>
      <c r="I16" s="41">
        <f t="shared" si="0"/>
        <v>32172.7</v>
      </c>
    </row>
    <row r="17" spans="1:9" ht="13.8" x14ac:dyDescent="0.3">
      <c r="A17" s="25" t="s">
        <v>329</v>
      </c>
      <c r="B17" s="25" t="s">
        <v>328</v>
      </c>
      <c r="C17" s="25" t="s">
        <v>243</v>
      </c>
      <c r="D17" s="25" t="s">
        <v>217</v>
      </c>
      <c r="E17" s="41">
        <v>25900</v>
      </c>
      <c r="F17" s="41">
        <v>1295</v>
      </c>
      <c r="G17" s="41">
        <v>0</v>
      </c>
      <c r="H17" s="41">
        <f t="shared" si="1"/>
        <v>4428.8999999999996</v>
      </c>
      <c r="I17" s="41">
        <f t="shared" si="0"/>
        <v>29033.9</v>
      </c>
    </row>
    <row r="18" spans="1:9" ht="13.8" x14ac:dyDescent="0.3">
      <c r="A18" s="25" t="s">
        <v>327</v>
      </c>
      <c r="B18" s="25" t="s">
        <v>326</v>
      </c>
      <c r="C18" s="25" t="s">
        <v>243</v>
      </c>
      <c r="D18" s="25" t="s">
        <v>217</v>
      </c>
      <c r="E18" s="41">
        <v>32700</v>
      </c>
      <c r="F18" s="41">
        <v>1635</v>
      </c>
      <c r="G18" s="41">
        <v>0</v>
      </c>
      <c r="H18" s="41">
        <f t="shared" si="1"/>
        <v>5591.7</v>
      </c>
      <c r="I18" s="41">
        <f t="shared" si="0"/>
        <v>36656.699999999997</v>
      </c>
    </row>
    <row r="19" spans="1:9" ht="13.8" x14ac:dyDescent="0.3">
      <c r="A19" s="25" t="s">
        <v>325</v>
      </c>
      <c r="B19" s="25" t="s">
        <v>324</v>
      </c>
      <c r="C19" s="25" t="s">
        <v>243</v>
      </c>
      <c r="D19" s="25" t="s">
        <v>217</v>
      </c>
      <c r="E19" s="41">
        <v>36800</v>
      </c>
      <c r="F19" s="41">
        <v>1840</v>
      </c>
      <c r="G19" s="41">
        <v>0</v>
      </c>
      <c r="H19" s="41">
        <f t="shared" si="1"/>
        <v>6292.8</v>
      </c>
      <c r="I19" s="41">
        <f t="shared" si="0"/>
        <v>41252.800000000003</v>
      </c>
    </row>
    <row r="20" spans="1:9" ht="13.8" x14ac:dyDescent="0.3">
      <c r="A20" s="25" t="s">
        <v>323</v>
      </c>
      <c r="B20" s="25" t="s">
        <v>322</v>
      </c>
      <c r="C20" s="25" t="s">
        <v>243</v>
      </c>
      <c r="D20" s="25" t="s">
        <v>217</v>
      </c>
      <c r="E20" s="41">
        <v>42500</v>
      </c>
      <c r="F20" s="41">
        <v>2125</v>
      </c>
      <c r="G20" s="41">
        <v>0</v>
      </c>
      <c r="H20" s="41">
        <f t="shared" si="1"/>
        <v>7267.5</v>
      </c>
      <c r="I20" s="41">
        <f t="shared" si="0"/>
        <v>47642.5</v>
      </c>
    </row>
    <row r="21" spans="1:9" ht="13.8" x14ac:dyDescent="0.3">
      <c r="A21" s="25" t="s">
        <v>321</v>
      </c>
      <c r="B21" s="25" t="s">
        <v>320</v>
      </c>
      <c r="C21" s="25" t="s">
        <v>243</v>
      </c>
      <c r="D21" s="25" t="s">
        <v>217</v>
      </c>
      <c r="E21" s="41">
        <v>28700</v>
      </c>
      <c r="F21" s="41">
        <v>1435</v>
      </c>
      <c r="G21" s="41">
        <v>0</v>
      </c>
      <c r="H21" s="41">
        <f t="shared" si="1"/>
        <v>4907.7</v>
      </c>
      <c r="I21" s="41">
        <f t="shared" si="0"/>
        <v>32172.7</v>
      </c>
    </row>
    <row r="22" spans="1:9" ht="13.8" x14ac:dyDescent="0.3">
      <c r="A22" s="25" t="s">
        <v>319</v>
      </c>
      <c r="B22" s="25" t="s">
        <v>318</v>
      </c>
      <c r="C22" s="25" t="s">
        <v>243</v>
      </c>
      <c r="D22" s="25" t="s">
        <v>217</v>
      </c>
      <c r="E22" s="41">
        <v>25900</v>
      </c>
      <c r="F22" s="41">
        <v>1295</v>
      </c>
      <c r="G22" s="41">
        <v>0</v>
      </c>
      <c r="H22" s="41">
        <f t="shared" si="1"/>
        <v>4428.8999999999996</v>
      </c>
      <c r="I22" s="41">
        <f t="shared" si="0"/>
        <v>29033.9</v>
      </c>
    </row>
    <row r="23" spans="1:9" ht="13.8" x14ac:dyDescent="0.3">
      <c r="A23" s="25" t="s">
        <v>317</v>
      </c>
      <c r="B23" s="25" t="s">
        <v>316</v>
      </c>
      <c r="C23" s="25" t="s">
        <v>243</v>
      </c>
      <c r="D23" s="25" t="s">
        <v>217</v>
      </c>
      <c r="E23" s="41">
        <v>32700</v>
      </c>
      <c r="F23" s="41">
        <v>1635</v>
      </c>
      <c r="G23" s="41">
        <v>0</v>
      </c>
      <c r="H23" s="41">
        <f t="shared" si="1"/>
        <v>5591.7</v>
      </c>
      <c r="I23" s="41">
        <f t="shared" si="0"/>
        <v>36656.699999999997</v>
      </c>
    </row>
    <row r="24" spans="1:9" ht="13.8" x14ac:dyDescent="0.3">
      <c r="A24" s="25" t="s">
        <v>315</v>
      </c>
      <c r="B24" s="25" t="s">
        <v>314</v>
      </c>
      <c r="C24" s="25" t="s">
        <v>243</v>
      </c>
      <c r="D24" s="25" t="s">
        <v>217</v>
      </c>
      <c r="E24" s="41">
        <v>32700</v>
      </c>
      <c r="F24" s="41">
        <v>1635</v>
      </c>
      <c r="G24" s="41">
        <v>0</v>
      </c>
      <c r="H24" s="41">
        <f t="shared" si="1"/>
        <v>5591.7</v>
      </c>
      <c r="I24" s="41">
        <f t="shared" si="0"/>
        <v>36656.699999999997</v>
      </c>
    </row>
    <row r="25" spans="1:9" ht="13.8" x14ac:dyDescent="0.3">
      <c r="A25" s="25" t="s">
        <v>313</v>
      </c>
      <c r="B25" s="25" t="s">
        <v>312</v>
      </c>
      <c r="C25" s="25" t="s">
        <v>243</v>
      </c>
      <c r="D25" s="25" t="s">
        <v>217</v>
      </c>
      <c r="E25" s="41">
        <v>25900</v>
      </c>
      <c r="F25" s="41">
        <v>1295</v>
      </c>
      <c r="G25" s="41">
        <v>0</v>
      </c>
      <c r="H25" s="41">
        <f t="shared" si="1"/>
        <v>4428.8999999999996</v>
      </c>
      <c r="I25" s="41">
        <f t="shared" si="0"/>
        <v>29033.9</v>
      </c>
    </row>
    <row r="26" spans="1:9" ht="13.8" x14ac:dyDescent="0.3">
      <c r="A26" s="25" t="s">
        <v>311</v>
      </c>
      <c r="B26" s="25" t="s">
        <v>310</v>
      </c>
      <c r="C26" s="25" t="s">
        <v>243</v>
      </c>
      <c r="D26" s="25" t="s">
        <v>217</v>
      </c>
      <c r="E26" s="41">
        <v>32700</v>
      </c>
      <c r="F26" s="41">
        <v>1635</v>
      </c>
      <c r="G26" s="41">
        <v>0</v>
      </c>
      <c r="H26" s="41">
        <f t="shared" si="1"/>
        <v>5591.7</v>
      </c>
      <c r="I26" s="41">
        <f t="shared" si="0"/>
        <v>36656.699999999997</v>
      </c>
    </row>
    <row r="27" spans="1:9" ht="13.8" x14ac:dyDescent="0.3">
      <c r="A27" s="25" t="s">
        <v>309</v>
      </c>
      <c r="B27" s="25" t="s">
        <v>308</v>
      </c>
      <c r="C27" s="25" t="s">
        <v>243</v>
      </c>
      <c r="D27" s="25" t="s">
        <v>217</v>
      </c>
      <c r="E27" s="41">
        <v>36800</v>
      </c>
      <c r="F27" s="41">
        <v>1840</v>
      </c>
      <c r="G27" s="41">
        <v>0</v>
      </c>
      <c r="H27" s="41">
        <f t="shared" si="1"/>
        <v>6292.8</v>
      </c>
      <c r="I27" s="41">
        <f t="shared" si="0"/>
        <v>41252.800000000003</v>
      </c>
    </row>
    <row r="28" spans="1:9" ht="13.8" x14ac:dyDescent="0.3">
      <c r="A28" s="25" t="s">
        <v>307</v>
      </c>
      <c r="B28" s="25" t="s">
        <v>306</v>
      </c>
      <c r="C28" s="25" t="s">
        <v>243</v>
      </c>
      <c r="D28" s="25" t="s">
        <v>217</v>
      </c>
      <c r="E28" s="41">
        <v>42500</v>
      </c>
      <c r="F28" s="41">
        <v>2125</v>
      </c>
      <c r="G28" s="41">
        <v>0</v>
      </c>
      <c r="H28" s="41">
        <f t="shared" si="1"/>
        <v>7267.5</v>
      </c>
      <c r="I28" s="41">
        <f t="shared" si="0"/>
        <v>47642.5</v>
      </c>
    </row>
    <row r="29" spans="1:9" ht="13.8" x14ac:dyDescent="0.3">
      <c r="A29" s="25" t="s">
        <v>305</v>
      </c>
      <c r="B29" s="25" t="s">
        <v>304</v>
      </c>
      <c r="C29" s="25" t="s">
        <v>243</v>
      </c>
      <c r="D29" s="25" t="s">
        <v>217</v>
      </c>
      <c r="E29" s="41">
        <v>28700</v>
      </c>
      <c r="F29" s="41">
        <v>1435</v>
      </c>
      <c r="G29" s="41">
        <v>0</v>
      </c>
      <c r="H29" s="41">
        <f t="shared" si="1"/>
        <v>4907.7</v>
      </c>
      <c r="I29" s="41">
        <f t="shared" si="0"/>
        <v>32172.7</v>
      </c>
    </row>
    <row r="30" spans="1:9" ht="13.8" x14ac:dyDescent="0.3">
      <c r="A30" s="25" t="s">
        <v>303</v>
      </c>
      <c r="B30" s="25" t="s">
        <v>302</v>
      </c>
      <c r="C30" s="25" t="s">
        <v>243</v>
      </c>
      <c r="D30" s="25" t="s">
        <v>217</v>
      </c>
      <c r="E30" s="41">
        <v>25900</v>
      </c>
      <c r="F30" s="41">
        <v>1295</v>
      </c>
      <c r="G30" s="41">
        <v>0</v>
      </c>
      <c r="H30" s="41">
        <f t="shared" si="1"/>
        <v>4428.8999999999996</v>
      </c>
      <c r="I30" s="41">
        <f t="shared" si="0"/>
        <v>29033.9</v>
      </c>
    </row>
    <row r="31" spans="1:9" ht="13.8" x14ac:dyDescent="0.3">
      <c r="A31" s="25" t="s">
        <v>301</v>
      </c>
      <c r="B31" s="25" t="s">
        <v>300</v>
      </c>
      <c r="C31" s="25" t="s">
        <v>243</v>
      </c>
      <c r="D31" s="25" t="s">
        <v>217</v>
      </c>
      <c r="E31" s="41">
        <v>32700</v>
      </c>
      <c r="F31" s="41">
        <v>1635</v>
      </c>
      <c r="G31" s="41">
        <v>0</v>
      </c>
      <c r="H31" s="41">
        <f t="shared" si="1"/>
        <v>5591.7</v>
      </c>
      <c r="I31" s="41">
        <f t="shared" si="0"/>
        <v>36656.699999999997</v>
      </c>
    </row>
    <row r="32" spans="1:9" ht="13.8" x14ac:dyDescent="0.3">
      <c r="A32" s="25" t="s">
        <v>299</v>
      </c>
      <c r="B32" s="25" t="s">
        <v>298</v>
      </c>
      <c r="C32" s="25" t="s">
        <v>243</v>
      </c>
      <c r="D32" s="25" t="s">
        <v>217</v>
      </c>
      <c r="E32" s="41">
        <v>32700</v>
      </c>
      <c r="F32" s="41">
        <v>1635</v>
      </c>
      <c r="G32" s="41">
        <v>0</v>
      </c>
      <c r="H32" s="41">
        <f t="shared" si="1"/>
        <v>5591.7</v>
      </c>
      <c r="I32" s="41">
        <f t="shared" si="0"/>
        <v>36656.699999999997</v>
      </c>
    </row>
    <row r="33" spans="1:9" ht="13.8" x14ac:dyDescent="0.3">
      <c r="A33" s="25" t="s">
        <v>297</v>
      </c>
      <c r="B33" s="25" t="s">
        <v>296</v>
      </c>
      <c r="C33" s="25" t="s">
        <v>243</v>
      </c>
      <c r="D33" s="25" t="s">
        <v>217</v>
      </c>
      <c r="E33" s="41">
        <v>30200</v>
      </c>
      <c r="F33" s="41">
        <v>1510</v>
      </c>
      <c r="G33" s="41">
        <v>0</v>
      </c>
      <c r="H33" s="41">
        <f t="shared" si="1"/>
        <v>5164.2</v>
      </c>
      <c r="I33" s="41">
        <f t="shared" si="0"/>
        <v>33854.199999999997</v>
      </c>
    </row>
    <row r="34" spans="1:9" ht="13.8" x14ac:dyDescent="0.3">
      <c r="A34" s="25" t="s">
        <v>295</v>
      </c>
      <c r="B34" s="25" t="s">
        <v>294</v>
      </c>
      <c r="C34" s="25" t="s">
        <v>243</v>
      </c>
      <c r="D34" s="25" t="s">
        <v>117</v>
      </c>
      <c r="E34" s="41">
        <v>1500</v>
      </c>
      <c r="F34" s="41">
        <v>75</v>
      </c>
      <c r="G34" s="41">
        <v>0</v>
      </c>
      <c r="H34" s="41">
        <f t="shared" si="1"/>
        <v>256.5</v>
      </c>
      <c r="I34" s="41">
        <f t="shared" si="0"/>
        <v>1681.5</v>
      </c>
    </row>
    <row r="35" spans="1:9" ht="13.8" x14ac:dyDescent="0.3">
      <c r="A35" s="25" t="s">
        <v>293</v>
      </c>
      <c r="B35" s="25" t="s">
        <v>292</v>
      </c>
      <c r="C35" s="25" t="s">
        <v>243</v>
      </c>
      <c r="D35" s="25" t="s">
        <v>117</v>
      </c>
      <c r="E35" s="41">
        <v>4900</v>
      </c>
      <c r="F35" s="41">
        <v>245</v>
      </c>
      <c r="G35" s="41">
        <v>0</v>
      </c>
      <c r="H35" s="41">
        <f t="shared" si="1"/>
        <v>837.9</v>
      </c>
      <c r="I35" s="41">
        <f t="shared" si="0"/>
        <v>5492.9</v>
      </c>
    </row>
    <row r="36" spans="1:9" ht="13.8" x14ac:dyDescent="0.3">
      <c r="A36" s="25" t="s">
        <v>291</v>
      </c>
      <c r="B36" s="25" t="s">
        <v>290</v>
      </c>
      <c r="C36" s="25" t="s">
        <v>243</v>
      </c>
      <c r="D36" s="25" t="s">
        <v>117</v>
      </c>
      <c r="E36" s="41">
        <v>7900</v>
      </c>
      <c r="F36" s="41">
        <v>395</v>
      </c>
      <c r="G36" s="41">
        <v>0</v>
      </c>
      <c r="H36" s="41">
        <f t="shared" si="1"/>
        <v>1350.8999999999999</v>
      </c>
      <c r="I36" s="41">
        <f t="shared" si="0"/>
        <v>8855.9</v>
      </c>
    </row>
    <row r="37" spans="1:9" ht="13.8" x14ac:dyDescent="0.3">
      <c r="A37" s="25" t="s">
        <v>289</v>
      </c>
      <c r="B37" s="25" t="s">
        <v>288</v>
      </c>
      <c r="C37" s="25" t="s">
        <v>243</v>
      </c>
      <c r="D37" s="25" t="s">
        <v>117</v>
      </c>
      <c r="E37" s="41">
        <v>10300</v>
      </c>
      <c r="F37" s="41">
        <v>515</v>
      </c>
      <c r="G37" s="41">
        <v>0</v>
      </c>
      <c r="H37" s="41">
        <f t="shared" si="1"/>
        <v>1761.3</v>
      </c>
      <c r="I37" s="41">
        <f t="shared" si="0"/>
        <v>11546.3</v>
      </c>
    </row>
    <row r="38" spans="1:9" ht="13.8" x14ac:dyDescent="0.3">
      <c r="A38" s="25" t="s">
        <v>287</v>
      </c>
      <c r="B38" s="25" t="s">
        <v>286</v>
      </c>
      <c r="C38" s="25" t="s">
        <v>243</v>
      </c>
      <c r="D38" s="25" t="s">
        <v>117</v>
      </c>
      <c r="E38" s="41">
        <v>15600</v>
      </c>
      <c r="F38" s="41">
        <v>780</v>
      </c>
      <c r="G38" s="41">
        <v>0</v>
      </c>
      <c r="H38" s="41">
        <f t="shared" si="1"/>
        <v>2667.6</v>
      </c>
      <c r="I38" s="41">
        <f t="shared" si="0"/>
        <v>17487.599999999999</v>
      </c>
    </row>
    <row r="39" spans="1:9" ht="13.8" x14ac:dyDescent="0.3">
      <c r="A39" s="25" t="s">
        <v>285</v>
      </c>
      <c r="B39" s="25" t="s">
        <v>284</v>
      </c>
      <c r="C39" s="25" t="s">
        <v>243</v>
      </c>
      <c r="D39" s="25" t="s">
        <v>117</v>
      </c>
      <c r="E39" s="41">
        <v>25900</v>
      </c>
      <c r="F39" s="41">
        <v>1295</v>
      </c>
      <c r="G39" s="41">
        <v>0</v>
      </c>
      <c r="H39" s="41">
        <f t="shared" si="1"/>
        <v>4428.8999999999996</v>
      </c>
      <c r="I39" s="41">
        <f t="shared" si="0"/>
        <v>29033.9</v>
      </c>
    </row>
    <row r="40" spans="1:9" ht="13.8" x14ac:dyDescent="0.3">
      <c r="A40" s="25" t="s">
        <v>283</v>
      </c>
      <c r="B40" s="25" t="s">
        <v>282</v>
      </c>
      <c r="C40" s="25" t="s">
        <v>243</v>
      </c>
      <c r="D40" s="25" t="s">
        <v>117</v>
      </c>
      <c r="E40" s="41">
        <v>32700</v>
      </c>
      <c r="F40" s="41">
        <v>1635</v>
      </c>
      <c r="G40" s="41">
        <v>0</v>
      </c>
      <c r="H40" s="41">
        <f t="shared" si="1"/>
        <v>5591.7</v>
      </c>
      <c r="I40" s="41">
        <f t="shared" si="0"/>
        <v>36656.699999999997</v>
      </c>
    </row>
    <row r="41" spans="1:9" ht="13.8" x14ac:dyDescent="0.3">
      <c r="A41" s="25" t="s">
        <v>281</v>
      </c>
      <c r="B41" s="25" t="s">
        <v>280</v>
      </c>
      <c r="C41" s="25" t="s">
        <v>243</v>
      </c>
      <c r="D41" s="25" t="s">
        <v>117</v>
      </c>
      <c r="E41" s="41">
        <v>36800</v>
      </c>
      <c r="F41" s="41">
        <v>1840</v>
      </c>
      <c r="G41" s="41">
        <v>0</v>
      </c>
      <c r="H41" s="41">
        <f t="shared" si="1"/>
        <v>6292.8</v>
      </c>
      <c r="I41" s="41">
        <f t="shared" si="0"/>
        <v>41252.800000000003</v>
      </c>
    </row>
    <row r="42" spans="1:9" ht="13.8" x14ac:dyDescent="0.3">
      <c r="A42" s="25" t="s">
        <v>279</v>
      </c>
      <c r="B42" s="25" t="s">
        <v>278</v>
      </c>
      <c r="C42" s="25" t="s">
        <v>243</v>
      </c>
      <c r="D42" s="25" t="s">
        <v>117</v>
      </c>
      <c r="E42" s="41">
        <v>42500</v>
      </c>
      <c r="F42" s="41">
        <v>2125</v>
      </c>
      <c r="G42" s="41">
        <v>0</v>
      </c>
      <c r="H42" s="41">
        <f t="shared" si="1"/>
        <v>7267.5</v>
      </c>
      <c r="I42" s="41">
        <f t="shared" si="0"/>
        <v>47642.5</v>
      </c>
    </row>
    <row r="43" spans="1:9" ht="13.8" x14ac:dyDescent="0.3">
      <c r="A43" s="25" t="s">
        <v>277</v>
      </c>
      <c r="B43" s="25" t="s">
        <v>276</v>
      </c>
      <c r="C43" s="25" t="s">
        <v>243</v>
      </c>
      <c r="D43" s="25" t="s">
        <v>117</v>
      </c>
      <c r="E43" s="41">
        <v>28700</v>
      </c>
      <c r="F43" s="41">
        <v>1435</v>
      </c>
      <c r="G43" s="41">
        <v>0</v>
      </c>
      <c r="H43" s="41">
        <f t="shared" si="1"/>
        <v>4907.7</v>
      </c>
      <c r="I43" s="41">
        <f t="shared" si="0"/>
        <v>32172.7</v>
      </c>
    </row>
    <row r="44" spans="1:9" ht="13.8" x14ac:dyDescent="0.3">
      <c r="A44" s="25" t="s">
        <v>275</v>
      </c>
      <c r="B44" s="25" t="s">
        <v>274</v>
      </c>
      <c r="C44" s="25" t="s">
        <v>243</v>
      </c>
      <c r="D44" s="25" t="s">
        <v>117</v>
      </c>
      <c r="E44" s="41">
        <v>25900</v>
      </c>
      <c r="F44" s="41">
        <v>1295</v>
      </c>
      <c r="G44" s="41">
        <v>0</v>
      </c>
      <c r="H44" s="41">
        <f t="shared" si="1"/>
        <v>4428.8999999999996</v>
      </c>
      <c r="I44" s="41">
        <f t="shared" si="0"/>
        <v>29033.9</v>
      </c>
    </row>
    <row r="45" spans="1:9" ht="13.8" x14ac:dyDescent="0.3">
      <c r="A45" s="25" t="s">
        <v>273</v>
      </c>
      <c r="B45" s="25" t="s">
        <v>272</v>
      </c>
      <c r="C45" s="25" t="s">
        <v>243</v>
      </c>
      <c r="D45" s="25" t="s">
        <v>117</v>
      </c>
      <c r="E45" s="41">
        <v>32700</v>
      </c>
      <c r="F45" s="41">
        <v>1635</v>
      </c>
      <c r="G45" s="41">
        <v>0</v>
      </c>
      <c r="H45" s="41">
        <f t="shared" si="1"/>
        <v>5591.7</v>
      </c>
      <c r="I45" s="41">
        <f t="shared" si="0"/>
        <v>36656.699999999997</v>
      </c>
    </row>
    <row r="46" spans="1:9" ht="13.8" x14ac:dyDescent="0.3">
      <c r="A46" s="25" t="s">
        <v>271</v>
      </c>
      <c r="B46" s="25" t="s">
        <v>270</v>
      </c>
      <c r="C46" s="25" t="s">
        <v>243</v>
      </c>
      <c r="D46" s="25" t="s">
        <v>117</v>
      </c>
      <c r="E46" s="41">
        <v>32700</v>
      </c>
      <c r="F46" s="41">
        <v>1635</v>
      </c>
      <c r="G46" s="41">
        <v>0</v>
      </c>
      <c r="H46" s="41">
        <f t="shared" si="1"/>
        <v>5591.7</v>
      </c>
      <c r="I46" s="41">
        <f t="shared" si="0"/>
        <v>36656.699999999997</v>
      </c>
    </row>
    <row r="47" spans="1:9" ht="13.8" x14ac:dyDescent="0.3">
      <c r="A47" s="25" t="s">
        <v>269</v>
      </c>
      <c r="B47" s="25" t="s">
        <v>268</v>
      </c>
      <c r="C47" s="25" t="s">
        <v>243</v>
      </c>
      <c r="D47" s="25" t="s">
        <v>117</v>
      </c>
      <c r="E47" s="41">
        <v>30200</v>
      </c>
      <c r="F47" s="41">
        <v>1510</v>
      </c>
      <c r="G47" s="41">
        <v>0</v>
      </c>
      <c r="H47" s="41">
        <f t="shared" si="1"/>
        <v>5164.2</v>
      </c>
      <c r="I47" s="41">
        <f t="shared" ref="I47:I78" si="2">E47+G47-F47+H47</f>
        <v>33854.199999999997</v>
      </c>
    </row>
    <row r="48" spans="1:9" ht="13.8" x14ac:dyDescent="0.3">
      <c r="A48" s="25" t="s">
        <v>267</v>
      </c>
      <c r="B48" s="25" t="s">
        <v>266</v>
      </c>
      <c r="C48" s="25" t="s">
        <v>243</v>
      </c>
      <c r="D48" s="25" t="s">
        <v>117</v>
      </c>
      <c r="E48" s="41">
        <v>1500</v>
      </c>
      <c r="F48" s="41">
        <v>75</v>
      </c>
      <c r="G48" s="41">
        <v>0</v>
      </c>
      <c r="H48" s="41">
        <f t="shared" si="1"/>
        <v>256.5</v>
      </c>
      <c r="I48" s="41">
        <f t="shared" si="2"/>
        <v>1681.5</v>
      </c>
    </row>
    <row r="49" spans="1:9" ht="13.8" x14ac:dyDescent="0.3">
      <c r="A49" s="25" t="s">
        <v>265</v>
      </c>
      <c r="B49" s="25" t="s">
        <v>264</v>
      </c>
      <c r="C49" s="25" t="s">
        <v>243</v>
      </c>
      <c r="D49" s="25" t="s">
        <v>117</v>
      </c>
      <c r="E49" s="41">
        <v>4900</v>
      </c>
      <c r="F49" s="41">
        <v>245</v>
      </c>
      <c r="G49" s="41">
        <v>0</v>
      </c>
      <c r="H49" s="41">
        <f t="shared" si="1"/>
        <v>837.9</v>
      </c>
      <c r="I49" s="41">
        <f t="shared" si="2"/>
        <v>5492.9</v>
      </c>
    </row>
    <row r="50" spans="1:9" ht="13.8" x14ac:dyDescent="0.3">
      <c r="A50" s="25" t="s">
        <v>263</v>
      </c>
      <c r="B50" s="25" t="s">
        <v>262</v>
      </c>
      <c r="C50" s="25" t="s">
        <v>243</v>
      </c>
      <c r="D50" s="25" t="s">
        <v>117</v>
      </c>
      <c r="E50" s="41">
        <v>7900</v>
      </c>
      <c r="F50" s="41">
        <v>395</v>
      </c>
      <c r="G50" s="41">
        <v>0</v>
      </c>
      <c r="H50" s="41">
        <f t="shared" si="1"/>
        <v>1350.8999999999999</v>
      </c>
      <c r="I50" s="41">
        <f t="shared" si="2"/>
        <v>8855.9</v>
      </c>
    </row>
    <row r="51" spans="1:9" ht="13.8" x14ac:dyDescent="0.3">
      <c r="A51" s="25" t="s">
        <v>261</v>
      </c>
      <c r="B51" s="25" t="s">
        <v>260</v>
      </c>
      <c r="C51" s="25" t="s">
        <v>243</v>
      </c>
      <c r="D51" s="25" t="s">
        <v>117</v>
      </c>
      <c r="E51" s="41">
        <v>10300</v>
      </c>
      <c r="F51" s="41">
        <v>515</v>
      </c>
      <c r="G51" s="41">
        <v>0</v>
      </c>
      <c r="H51" s="41">
        <f t="shared" si="1"/>
        <v>1761.3</v>
      </c>
      <c r="I51" s="41">
        <f t="shared" si="2"/>
        <v>11546.3</v>
      </c>
    </row>
    <row r="52" spans="1:9" ht="13.8" x14ac:dyDescent="0.3">
      <c r="A52" s="25" t="s">
        <v>259</v>
      </c>
      <c r="B52" s="25" t="s">
        <v>258</v>
      </c>
      <c r="C52" s="25" t="s">
        <v>243</v>
      </c>
      <c r="D52" s="25" t="s">
        <v>117</v>
      </c>
      <c r="E52" s="41">
        <v>15600</v>
      </c>
      <c r="F52" s="41">
        <v>780</v>
      </c>
      <c r="G52" s="41">
        <v>0</v>
      </c>
      <c r="H52" s="41">
        <f t="shared" si="1"/>
        <v>2667.6</v>
      </c>
      <c r="I52" s="41">
        <f t="shared" si="2"/>
        <v>17487.599999999999</v>
      </c>
    </row>
    <row r="53" spans="1:9" ht="13.8" x14ac:dyDescent="0.3">
      <c r="A53" s="25" t="s">
        <v>257</v>
      </c>
      <c r="B53" s="25" t="s">
        <v>256</v>
      </c>
      <c r="C53" s="25" t="s">
        <v>243</v>
      </c>
      <c r="D53" s="25" t="s">
        <v>117</v>
      </c>
      <c r="E53" s="41">
        <v>25900</v>
      </c>
      <c r="F53" s="41">
        <v>1295</v>
      </c>
      <c r="G53" s="41">
        <v>0</v>
      </c>
      <c r="H53" s="41">
        <f t="shared" si="1"/>
        <v>4428.8999999999996</v>
      </c>
      <c r="I53" s="41">
        <f t="shared" si="2"/>
        <v>29033.9</v>
      </c>
    </row>
    <row r="54" spans="1:9" ht="13.8" x14ac:dyDescent="0.3">
      <c r="A54" s="25" t="s">
        <v>255</v>
      </c>
      <c r="B54" s="25" t="s">
        <v>254</v>
      </c>
      <c r="C54" s="25" t="s">
        <v>243</v>
      </c>
      <c r="D54" s="25" t="s">
        <v>117</v>
      </c>
      <c r="E54" s="41">
        <v>32700</v>
      </c>
      <c r="F54" s="41">
        <v>1635</v>
      </c>
      <c r="G54" s="41">
        <v>0</v>
      </c>
      <c r="H54" s="41">
        <f t="shared" si="1"/>
        <v>5591.7</v>
      </c>
      <c r="I54" s="41">
        <f t="shared" si="2"/>
        <v>36656.699999999997</v>
      </c>
    </row>
    <row r="55" spans="1:9" ht="13.8" x14ac:dyDescent="0.3">
      <c r="A55" s="25" t="s">
        <v>253</v>
      </c>
      <c r="B55" s="25" t="s">
        <v>252</v>
      </c>
      <c r="C55" s="25" t="s">
        <v>243</v>
      </c>
      <c r="D55" s="25" t="s">
        <v>117</v>
      </c>
      <c r="E55" s="41">
        <v>32700</v>
      </c>
      <c r="F55" s="41">
        <v>1635</v>
      </c>
      <c r="G55" s="41">
        <v>0</v>
      </c>
      <c r="H55" s="41">
        <f t="shared" si="1"/>
        <v>5591.7</v>
      </c>
      <c r="I55" s="41">
        <f t="shared" si="2"/>
        <v>36656.699999999997</v>
      </c>
    </row>
    <row r="56" spans="1:9" ht="13.8" x14ac:dyDescent="0.3">
      <c r="A56" s="25" t="s">
        <v>251</v>
      </c>
      <c r="B56" s="25" t="s">
        <v>250</v>
      </c>
      <c r="C56" s="25" t="s">
        <v>243</v>
      </c>
      <c r="D56" s="25" t="s">
        <v>117</v>
      </c>
      <c r="E56" s="41">
        <v>30200</v>
      </c>
      <c r="F56" s="41">
        <v>1510</v>
      </c>
      <c r="G56" s="41">
        <v>0</v>
      </c>
      <c r="H56" s="41">
        <f t="shared" si="1"/>
        <v>5164.2</v>
      </c>
      <c r="I56" s="41">
        <f t="shared" si="2"/>
        <v>33854.199999999997</v>
      </c>
    </row>
    <row r="57" spans="1:9" ht="13.8" x14ac:dyDescent="0.3">
      <c r="A57" s="25" t="s">
        <v>249</v>
      </c>
      <c r="B57" s="25" t="s">
        <v>248</v>
      </c>
      <c r="C57" s="25" t="s">
        <v>243</v>
      </c>
      <c r="D57" s="25" t="s">
        <v>117</v>
      </c>
      <c r="E57" s="41">
        <v>1500</v>
      </c>
      <c r="F57" s="41">
        <v>75</v>
      </c>
      <c r="G57" s="41">
        <v>0</v>
      </c>
      <c r="H57" s="41">
        <f t="shared" si="1"/>
        <v>256.5</v>
      </c>
      <c r="I57" s="41">
        <f t="shared" si="2"/>
        <v>1681.5</v>
      </c>
    </row>
    <row r="58" spans="1:9" ht="13.8" x14ac:dyDescent="0.3">
      <c r="A58" s="25" t="s">
        <v>247</v>
      </c>
      <c r="B58" s="25" t="s">
        <v>246</v>
      </c>
      <c r="C58" s="25" t="s">
        <v>243</v>
      </c>
      <c r="D58" s="25" t="s">
        <v>117</v>
      </c>
      <c r="E58" s="41">
        <v>4900</v>
      </c>
      <c r="F58" s="41">
        <v>245</v>
      </c>
      <c r="G58" s="41">
        <v>0</v>
      </c>
      <c r="H58" s="41">
        <f t="shared" si="1"/>
        <v>837.9</v>
      </c>
      <c r="I58" s="41">
        <f t="shared" si="2"/>
        <v>5492.9</v>
      </c>
    </row>
    <row r="59" spans="1:9" ht="13.8" x14ac:dyDescent="0.3">
      <c r="A59" s="25" t="s">
        <v>245</v>
      </c>
      <c r="B59" s="25" t="s">
        <v>244</v>
      </c>
      <c r="C59" s="25" t="s">
        <v>243</v>
      </c>
      <c r="D59" s="25" t="s">
        <v>117</v>
      </c>
      <c r="E59" s="41">
        <v>7900</v>
      </c>
      <c r="F59" s="41">
        <v>395</v>
      </c>
      <c r="G59" s="41">
        <v>0</v>
      </c>
      <c r="H59" s="41">
        <f t="shared" si="1"/>
        <v>1350.8999999999999</v>
      </c>
      <c r="I59" s="41">
        <f t="shared" si="2"/>
        <v>8855.9</v>
      </c>
    </row>
    <row r="60" spans="1:9" ht="13.8" x14ac:dyDescent="0.3">
      <c r="A60" s="25" t="s">
        <v>242</v>
      </c>
      <c r="B60" s="25" t="s">
        <v>241</v>
      </c>
      <c r="C60" s="25" t="s">
        <v>218</v>
      </c>
      <c r="D60" s="25" t="s">
        <v>217</v>
      </c>
      <c r="E60" s="41">
        <v>3800</v>
      </c>
      <c r="F60" s="41">
        <v>190</v>
      </c>
      <c r="G60" s="41">
        <v>0</v>
      </c>
      <c r="H60" s="41">
        <f t="shared" si="1"/>
        <v>649.79999999999995</v>
      </c>
      <c r="I60" s="41">
        <f t="shared" si="2"/>
        <v>4259.8</v>
      </c>
    </row>
    <row r="61" spans="1:9" ht="13.8" x14ac:dyDescent="0.3">
      <c r="A61" s="25" t="s">
        <v>240</v>
      </c>
      <c r="B61" s="25" t="s">
        <v>239</v>
      </c>
      <c r="C61" s="25" t="s">
        <v>218</v>
      </c>
      <c r="D61" s="25" t="s">
        <v>217</v>
      </c>
      <c r="E61" s="41">
        <v>3900</v>
      </c>
      <c r="F61" s="41">
        <v>195</v>
      </c>
      <c r="G61" s="41">
        <v>0</v>
      </c>
      <c r="H61" s="41">
        <f t="shared" si="1"/>
        <v>666.9</v>
      </c>
      <c r="I61" s="41">
        <f t="shared" si="2"/>
        <v>4371.8999999999996</v>
      </c>
    </row>
    <row r="62" spans="1:9" ht="13.8" x14ac:dyDescent="0.3">
      <c r="A62" s="25" t="s">
        <v>238</v>
      </c>
      <c r="B62" s="25" t="s">
        <v>237</v>
      </c>
      <c r="C62" s="25" t="s">
        <v>218</v>
      </c>
      <c r="D62" s="25" t="s">
        <v>217</v>
      </c>
      <c r="E62" s="41">
        <v>4200</v>
      </c>
      <c r="F62" s="41">
        <v>210</v>
      </c>
      <c r="G62" s="41">
        <v>0</v>
      </c>
      <c r="H62" s="41">
        <f t="shared" si="1"/>
        <v>718.19999999999993</v>
      </c>
      <c r="I62" s="41">
        <f t="shared" si="2"/>
        <v>4708.2</v>
      </c>
    </row>
    <row r="63" spans="1:9" ht="13.8" x14ac:dyDescent="0.3">
      <c r="A63" s="25" t="s">
        <v>236</v>
      </c>
      <c r="B63" s="25" t="s">
        <v>235</v>
      </c>
      <c r="C63" s="25" t="s">
        <v>218</v>
      </c>
      <c r="D63" s="25" t="s">
        <v>217</v>
      </c>
      <c r="E63" s="41">
        <v>4500</v>
      </c>
      <c r="F63" s="41">
        <v>225</v>
      </c>
      <c r="G63" s="41">
        <v>0</v>
      </c>
      <c r="H63" s="41">
        <f t="shared" si="1"/>
        <v>769.5</v>
      </c>
      <c r="I63" s="41">
        <f t="shared" si="2"/>
        <v>5044.5</v>
      </c>
    </row>
    <row r="64" spans="1:9" ht="13.8" x14ac:dyDescent="0.3">
      <c r="A64" s="25" t="s">
        <v>234</v>
      </c>
      <c r="B64" s="25" t="s">
        <v>233</v>
      </c>
      <c r="C64" s="25" t="s">
        <v>218</v>
      </c>
      <c r="D64" s="25" t="s">
        <v>217</v>
      </c>
      <c r="E64" s="41">
        <v>3600</v>
      </c>
      <c r="F64" s="41">
        <v>180</v>
      </c>
      <c r="G64" s="41">
        <v>0</v>
      </c>
      <c r="H64" s="41">
        <f t="shared" si="1"/>
        <v>615.6</v>
      </c>
      <c r="I64" s="41">
        <f t="shared" si="2"/>
        <v>4035.6</v>
      </c>
    </row>
    <row r="65" spans="1:9" ht="13.8" x14ac:dyDescent="0.3">
      <c r="A65" s="25" t="s">
        <v>232</v>
      </c>
      <c r="B65" s="25" t="s">
        <v>231</v>
      </c>
      <c r="C65" s="25" t="s">
        <v>218</v>
      </c>
      <c r="D65" s="25" t="s">
        <v>217</v>
      </c>
      <c r="E65" s="41">
        <v>6000</v>
      </c>
      <c r="F65" s="41">
        <v>300</v>
      </c>
      <c r="G65" s="41">
        <v>0</v>
      </c>
      <c r="H65" s="41">
        <f t="shared" si="1"/>
        <v>1026</v>
      </c>
      <c r="I65" s="41">
        <f t="shared" si="2"/>
        <v>6726</v>
      </c>
    </row>
    <row r="66" spans="1:9" ht="13.8" x14ac:dyDescent="0.3">
      <c r="A66" s="25" t="s">
        <v>230</v>
      </c>
      <c r="B66" s="25" t="s">
        <v>229</v>
      </c>
      <c r="C66" s="25" t="s">
        <v>218</v>
      </c>
      <c r="D66" s="25" t="s">
        <v>217</v>
      </c>
      <c r="E66" s="41">
        <v>4600</v>
      </c>
      <c r="F66" s="41">
        <v>230</v>
      </c>
      <c r="G66" s="41">
        <v>0</v>
      </c>
      <c r="H66" s="41">
        <f t="shared" si="1"/>
        <v>786.6</v>
      </c>
      <c r="I66" s="41">
        <f t="shared" si="2"/>
        <v>5156.6000000000004</v>
      </c>
    </row>
    <row r="67" spans="1:9" ht="13.8" x14ac:dyDescent="0.3">
      <c r="A67" s="25" t="s">
        <v>228</v>
      </c>
      <c r="B67" s="25" t="s">
        <v>227</v>
      </c>
      <c r="C67" s="25" t="s">
        <v>218</v>
      </c>
      <c r="D67" s="25" t="s">
        <v>217</v>
      </c>
      <c r="E67" s="41">
        <v>6900</v>
      </c>
      <c r="F67" s="41">
        <v>345</v>
      </c>
      <c r="G67" s="41">
        <v>0</v>
      </c>
      <c r="H67" s="41">
        <f t="shared" si="1"/>
        <v>1179.8999999999999</v>
      </c>
      <c r="I67" s="41">
        <f t="shared" si="2"/>
        <v>7734.9</v>
      </c>
    </row>
    <row r="68" spans="1:9" ht="13.8" x14ac:dyDescent="0.3">
      <c r="A68" s="25" t="s">
        <v>226</v>
      </c>
      <c r="B68" s="25" t="s">
        <v>225</v>
      </c>
      <c r="C68" s="25" t="s">
        <v>218</v>
      </c>
      <c r="D68" s="25" t="s">
        <v>117</v>
      </c>
      <c r="E68" s="41">
        <v>7200</v>
      </c>
      <c r="F68" s="41">
        <v>360</v>
      </c>
      <c r="G68" s="41">
        <v>0</v>
      </c>
      <c r="H68" s="41">
        <f t="shared" si="1"/>
        <v>1231.2</v>
      </c>
      <c r="I68" s="41">
        <f t="shared" si="2"/>
        <v>8071.2</v>
      </c>
    </row>
    <row r="69" spans="1:9" ht="13.8" x14ac:dyDescent="0.3">
      <c r="A69" s="25" t="s">
        <v>224</v>
      </c>
      <c r="B69" s="25" t="s">
        <v>223</v>
      </c>
      <c r="C69" s="25" t="s">
        <v>218</v>
      </c>
      <c r="D69" s="25" t="s">
        <v>117</v>
      </c>
      <c r="E69" s="41">
        <v>5500</v>
      </c>
      <c r="F69" s="41">
        <v>275</v>
      </c>
      <c r="G69" s="41">
        <v>0</v>
      </c>
      <c r="H69" s="41">
        <f t="shared" si="1"/>
        <v>940.5</v>
      </c>
      <c r="I69" s="41">
        <f t="shared" si="2"/>
        <v>6165.5</v>
      </c>
    </row>
    <row r="70" spans="1:9" ht="13.8" x14ac:dyDescent="0.3">
      <c r="A70" s="25" t="s">
        <v>222</v>
      </c>
      <c r="B70" s="25" t="s">
        <v>221</v>
      </c>
      <c r="C70" s="25" t="s">
        <v>218</v>
      </c>
      <c r="D70" s="25" t="s">
        <v>117</v>
      </c>
      <c r="E70" s="41">
        <v>4600</v>
      </c>
      <c r="F70" s="41">
        <v>230</v>
      </c>
      <c r="G70" s="41">
        <v>0</v>
      </c>
      <c r="H70" s="41">
        <f t="shared" si="1"/>
        <v>786.6</v>
      </c>
      <c r="I70" s="41">
        <f t="shared" si="2"/>
        <v>5156.6000000000004</v>
      </c>
    </row>
    <row r="71" spans="1:9" ht="13.8" x14ac:dyDescent="0.3">
      <c r="A71" s="25" t="s">
        <v>220</v>
      </c>
      <c r="B71" s="25" t="s">
        <v>219</v>
      </c>
      <c r="C71" s="25" t="s">
        <v>218</v>
      </c>
      <c r="D71" s="25" t="s">
        <v>217</v>
      </c>
      <c r="E71" s="41">
        <v>3600</v>
      </c>
      <c r="F71" s="41">
        <v>180</v>
      </c>
      <c r="G71" s="41">
        <v>0</v>
      </c>
      <c r="H71" s="41">
        <f t="shared" si="1"/>
        <v>615.6</v>
      </c>
      <c r="I71" s="41">
        <f t="shared" si="2"/>
        <v>4035.6</v>
      </c>
    </row>
    <row r="72" spans="1:9" ht="13.8" x14ac:dyDescent="0.3">
      <c r="A72" s="25" t="s">
        <v>216</v>
      </c>
      <c r="B72" s="25" t="s">
        <v>215</v>
      </c>
      <c r="C72" s="25" t="s">
        <v>178</v>
      </c>
      <c r="D72" s="25" t="s">
        <v>117</v>
      </c>
      <c r="E72" s="41">
        <v>250</v>
      </c>
      <c r="F72" s="41">
        <v>25</v>
      </c>
      <c r="G72" s="41">
        <v>0</v>
      </c>
      <c r="H72" s="41">
        <f t="shared" si="1"/>
        <v>40.5</v>
      </c>
      <c r="I72" s="41">
        <f t="shared" si="2"/>
        <v>265.5</v>
      </c>
    </row>
    <row r="73" spans="1:9" ht="13.8" x14ac:dyDescent="0.3">
      <c r="A73" s="25" t="s">
        <v>214</v>
      </c>
      <c r="B73" s="25" t="s">
        <v>213</v>
      </c>
      <c r="C73" s="25" t="s">
        <v>178</v>
      </c>
      <c r="D73" s="25" t="s">
        <v>117</v>
      </c>
      <c r="E73" s="41">
        <v>300</v>
      </c>
      <c r="F73" s="41">
        <v>30</v>
      </c>
      <c r="G73" s="41">
        <v>0</v>
      </c>
      <c r="H73" s="41">
        <f t="shared" si="1"/>
        <v>48.6</v>
      </c>
      <c r="I73" s="41">
        <f t="shared" si="2"/>
        <v>318.60000000000002</v>
      </c>
    </row>
    <row r="74" spans="1:9" ht="13.8" x14ac:dyDescent="0.3">
      <c r="A74" s="25" t="s">
        <v>212</v>
      </c>
      <c r="B74" s="25" t="s">
        <v>211</v>
      </c>
      <c r="C74" s="25" t="s">
        <v>178</v>
      </c>
      <c r="D74" s="25" t="s">
        <v>117</v>
      </c>
      <c r="E74" s="41">
        <v>120</v>
      </c>
      <c r="F74" s="41">
        <v>12</v>
      </c>
      <c r="G74" s="41">
        <v>0</v>
      </c>
      <c r="H74" s="41">
        <f t="shared" si="1"/>
        <v>19.439999999999998</v>
      </c>
      <c r="I74" s="41">
        <f t="shared" si="2"/>
        <v>127.44</v>
      </c>
    </row>
    <row r="75" spans="1:9" ht="13.8" x14ac:dyDescent="0.3">
      <c r="A75" s="25" t="s">
        <v>210</v>
      </c>
      <c r="B75" s="25" t="s">
        <v>209</v>
      </c>
      <c r="C75" s="25" t="s">
        <v>178</v>
      </c>
      <c r="D75" s="25" t="s">
        <v>117</v>
      </c>
      <c r="E75" s="41">
        <v>550</v>
      </c>
      <c r="F75" s="41">
        <v>55</v>
      </c>
      <c r="G75" s="41">
        <v>0</v>
      </c>
      <c r="H75" s="41">
        <f t="shared" si="1"/>
        <v>89.1</v>
      </c>
      <c r="I75" s="41">
        <f t="shared" si="2"/>
        <v>584.1</v>
      </c>
    </row>
    <row r="76" spans="1:9" ht="13.8" x14ac:dyDescent="0.3">
      <c r="A76" s="25" t="s">
        <v>208</v>
      </c>
      <c r="B76" s="25" t="s">
        <v>207</v>
      </c>
      <c r="C76" s="25" t="s">
        <v>178</v>
      </c>
      <c r="D76" s="25" t="s">
        <v>117</v>
      </c>
      <c r="E76" s="41">
        <v>25</v>
      </c>
      <c r="F76" s="41">
        <v>2.5</v>
      </c>
      <c r="G76" s="41">
        <v>0</v>
      </c>
      <c r="H76" s="41">
        <f t="shared" si="1"/>
        <v>4.05</v>
      </c>
      <c r="I76" s="41">
        <f t="shared" si="2"/>
        <v>26.55</v>
      </c>
    </row>
    <row r="77" spans="1:9" ht="13.8" x14ac:dyDescent="0.3">
      <c r="A77" s="25" t="s">
        <v>206</v>
      </c>
      <c r="B77" s="25" t="s">
        <v>205</v>
      </c>
      <c r="C77" s="25" t="s">
        <v>178</v>
      </c>
      <c r="D77" s="25" t="s">
        <v>117</v>
      </c>
      <c r="E77" s="41">
        <v>150</v>
      </c>
      <c r="F77" s="41">
        <v>15</v>
      </c>
      <c r="G77" s="41">
        <v>0</v>
      </c>
      <c r="H77" s="41">
        <f t="shared" si="1"/>
        <v>24.3</v>
      </c>
      <c r="I77" s="41">
        <f t="shared" si="2"/>
        <v>159.30000000000001</v>
      </c>
    </row>
    <row r="78" spans="1:9" ht="13.8" x14ac:dyDescent="0.3">
      <c r="A78" s="25" t="s">
        <v>204</v>
      </c>
      <c r="B78" s="25" t="s">
        <v>203</v>
      </c>
      <c r="C78" s="25" t="s">
        <v>178</v>
      </c>
      <c r="D78" s="25" t="s">
        <v>117</v>
      </c>
      <c r="E78" s="41">
        <v>590</v>
      </c>
      <c r="F78" s="41">
        <v>59</v>
      </c>
      <c r="G78" s="41">
        <v>0</v>
      </c>
      <c r="H78" s="41">
        <f t="shared" si="1"/>
        <v>95.58</v>
      </c>
      <c r="I78" s="41">
        <f t="shared" si="2"/>
        <v>626.58000000000004</v>
      </c>
    </row>
    <row r="79" spans="1:9" ht="13.8" x14ac:dyDescent="0.3">
      <c r="A79" s="25" t="s">
        <v>202</v>
      </c>
      <c r="B79" s="25" t="s">
        <v>201</v>
      </c>
      <c r="C79" s="25" t="s">
        <v>178</v>
      </c>
      <c r="D79" s="25" t="s">
        <v>117</v>
      </c>
      <c r="E79" s="41">
        <v>610</v>
      </c>
      <c r="F79" s="41">
        <v>61</v>
      </c>
      <c r="G79" s="41">
        <v>0</v>
      </c>
      <c r="H79" s="41">
        <f t="shared" si="1"/>
        <v>98.82</v>
      </c>
      <c r="I79" s="41">
        <f t="shared" ref="I79:I110" si="3">E79+G79-F79+H79</f>
        <v>647.81999999999994</v>
      </c>
    </row>
    <row r="80" spans="1:9" ht="13.8" x14ac:dyDescent="0.3">
      <c r="A80" s="25" t="s">
        <v>200</v>
      </c>
      <c r="B80" s="25" t="s">
        <v>199</v>
      </c>
      <c r="C80" s="25" t="s">
        <v>178</v>
      </c>
      <c r="D80" s="25" t="s">
        <v>117</v>
      </c>
      <c r="E80" s="41">
        <v>720</v>
      </c>
      <c r="F80" s="41">
        <v>72</v>
      </c>
      <c r="G80" s="41">
        <v>0</v>
      </c>
      <c r="H80" s="41">
        <f t="shared" ref="H80:H122" si="4">(E80-F80+G80)*18%</f>
        <v>116.64</v>
      </c>
      <c r="I80" s="41">
        <f t="shared" si="3"/>
        <v>764.64</v>
      </c>
    </row>
    <row r="81" spans="1:9" ht="13.8" x14ac:dyDescent="0.3">
      <c r="A81" s="25" t="s">
        <v>198</v>
      </c>
      <c r="B81" s="25" t="s">
        <v>197</v>
      </c>
      <c r="C81" s="25" t="s">
        <v>178</v>
      </c>
      <c r="D81" s="25" t="s">
        <v>117</v>
      </c>
      <c r="E81" s="41">
        <v>1800</v>
      </c>
      <c r="F81" s="41">
        <v>180</v>
      </c>
      <c r="G81" s="41">
        <v>0</v>
      </c>
      <c r="H81" s="41">
        <f t="shared" si="4"/>
        <v>291.59999999999997</v>
      </c>
      <c r="I81" s="41">
        <f t="shared" si="3"/>
        <v>1911.6</v>
      </c>
    </row>
    <row r="82" spans="1:9" ht="13.8" x14ac:dyDescent="0.3">
      <c r="A82" s="25" t="s">
        <v>196</v>
      </c>
      <c r="B82" s="25" t="s">
        <v>195</v>
      </c>
      <c r="C82" s="25" t="s">
        <v>178</v>
      </c>
      <c r="D82" s="25" t="s">
        <v>117</v>
      </c>
      <c r="E82" s="41">
        <v>2600</v>
      </c>
      <c r="F82" s="41">
        <v>260</v>
      </c>
      <c r="G82" s="41">
        <v>0</v>
      </c>
      <c r="H82" s="41">
        <f t="shared" si="4"/>
        <v>421.2</v>
      </c>
      <c r="I82" s="41">
        <f t="shared" si="3"/>
        <v>2761.2</v>
      </c>
    </row>
    <row r="83" spans="1:9" ht="13.8" x14ac:dyDescent="0.3">
      <c r="A83" s="25" t="s">
        <v>194</v>
      </c>
      <c r="B83" s="25" t="s">
        <v>193</v>
      </c>
      <c r="C83" s="25" t="s">
        <v>178</v>
      </c>
      <c r="D83" s="25" t="s">
        <v>117</v>
      </c>
      <c r="E83" s="41">
        <v>3500</v>
      </c>
      <c r="F83" s="41">
        <v>350</v>
      </c>
      <c r="G83" s="41">
        <v>0</v>
      </c>
      <c r="H83" s="41">
        <f t="shared" si="4"/>
        <v>567</v>
      </c>
      <c r="I83" s="41">
        <f t="shared" si="3"/>
        <v>3717</v>
      </c>
    </row>
    <row r="84" spans="1:9" ht="13.8" x14ac:dyDescent="0.3">
      <c r="A84" s="25" t="s">
        <v>192</v>
      </c>
      <c r="B84" s="25" t="s">
        <v>191</v>
      </c>
      <c r="C84" s="25" t="s">
        <v>178</v>
      </c>
      <c r="D84" s="25" t="s">
        <v>117</v>
      </c>
      <c r="E84" s="41">
        <v>3200</v>
      </c>
      <c r="F84" s="41">
        <v>320</v>
      </c>
      <c r="G84" s="41">
        <v>0</v>
      </c>
      <c r="H84" s="41">
        <f t="shared" si="4"/>
        <v>518.4</v>
      </c>
      <c r="I84" s="41">
        <f t="shared" si="3"/>
        <v>3398.4</v>
      </c>
    </row>
    <row r="85" spans="1:9" ht="13.8" x14ac:dyDescent="0.3">
      <c r="A85" s="25" t="s">
        <v>190</v>
      </c>
      <c r="B85" s="25" t="s">
        <v>189</v>
      </c>
      <c r="C85" s="25" t="s">
        <v>178</v>
      </c>
      <c r="D85" s="25" t="s">
        <v>117</v>
      </c>
      <c r="E85" s="41">
        <v>4500</v>
      </c>
      <c r="F85" s="41">
        <v>450</v>
      </c>
      <c r="G85" s="41">
        <v>0</v>
      </c>
      <c r="H85" s="41">
        <f t="shared" si="4"/>
        <v>729</v>
      </c>
      <c r="I85" s="41">
        <f t="shared" si="3"/>
        <v>4779</v>
      </c>
    </row>
    <row r="86" spans="1:9" ht="13.8" x14ac:dyDescent="0.3">
      <c r="A86" s="25" t="s">
        <v>188</v>
      </c>
      <c r="B86" s="25" t="s">
        <v>187</v>
      </c>
      <c r="C86" s="25" t="s">
        <v>178</v>
      </c>
      <c r="D86" s="25" t="s">
        <v>117</v>
      </c>
      <c r="E86" s="41">
        <v>1260</v>
      </c>
      <c r="F86" s="41">
        <v>126</v>
      </c>
      <c r="G86" s="41">
        <v>0</v>
      </c>
      <c r="H86" s="41">
        <f t="shared" si="4"/>
        <v>204.12</v>
      </c>
      <c r="I86" s="41">
        <f t="shared" si="3"/>
        <v>1338.12</v>
      </c>
    </row>
    <row r="87" spans="1:9" ht="13.8" x14ac:dyDescent="0.3">
      <c r="A87" s="25" t="s">
        <v>186</v>
      </c>
      <c r="B87" s="25" t="s">
        <v>185</v>
      </c>
      <c r="C87" s="25" t="s">
        <v>178</v>
      </c>
      <c r="D87" s="25" t="s">
        <v>117</v>
      </c>
      <c r="E87" s="41">
        <v>1110</v>
      </c>
      <c r="F87" s="41">
        <v>111</v>
      </c>
      <c r="G87" s="41">
        <v>0</v>
      </c>
      <c r="H87" s="41">
        <f t="shared" si="4"/>
        <v>179.82</v>
      </c>
      <c r="I87" s="41">
        <f t="shared" si="3"/>
        <v>1178.82</v>
      </c>
    </row>
    <row r="88" spans="1:9" ht="13.8" x14ac:dyDescent="0.3">
      <c r="A88" s="25" t="s">
        <v>184</v>
      </c>
      <c r="B88" s="25" t="s">
        <v>183</v>
      </c>
      <c r="C88" s="25" t="s">
        <v>178</v>
      </c>
      <c r="D88" s="25" t="s">
        <v>117</v>
      </c>
      <c r="E88" s="41">
        <v>990</v>
      </c>
      <c r="F88" s="41">
        <v>99</v>
      </c>
      <c r="G88" s="41">
        <v>0</v>
      </c>
      <c r="H88" s="41">
        <f t="shared" si="4"/>
        <v>160.38</v>
      </c>
      <c r="I88" s="41">
        <f t="shared" si="3"/>
        <v>1051.3800000000001</v>
      </c>
    </row>
    <row r="89" spans="1:9" ht="13.8" x14ac:dyDescent="0.3">
      <c r="A89" s="25" t="s">
        <v>182</v>
      </c>
      <c r="B89" s="25" t="s">
        <v>181</v>
      </c>
      <c r="C89" s="25" t="s">
        <v>178</v>
      </c>
      <c r="D89" s="25" t="s">
        <v>117</v>
      </c>
      <c r="E89" s="41">
        <v>3200</v>
      </c>
      <c r="F89" s="41">
        <v>320</v>
      </c>
      <c r="G89" s="41">
        <v>0</v>
      </c>
      <c r="H89" s="41">
        <f t="shared" si="4"/>
        <v>518.4</v>
      </c>
      <c r="I89" s="41">
        <f t="shared" si="3"/>
        <v>3398.4</v>
      </c>
    </row>
    <row r="90" spans="1:9" ht="13.8" x14ac:dyDescent="0.3">
      <c r="A90" s="25" t="s">
        <v>180</v>
      </c>
      <c r="B90" s="25" t="s">
        <v>179</v>
      </c>
      <c r="C90" s="25" t="s">
        <v>178</v>
      </c>
      <c r="D90" s="25" t="s">
        <v>117</v>
      </c>
      <c r="E90" s="41">
        <v>4600</v>
      </c>
      <c r="F90" s="41">
        <v>460</v>
      </c>
      <c r="G90" s="41">
        <v>0</v>
      </c>
      <c r="H90" s="41">
        <f t="shared" si="4"/>
        <v>745.19999999999993</v>
      </c>
      <c r="I90" s="41">
        <f t="shared" si="3"/>
        <v>4885.2</v>
      </c>
    </row>
    <row r="91" spans="1:9" ht="13.8" x14ac:dyDescent="0.3">
      <c r="A91" s="25" t="s">
        <v>177</v>
      </c>
      <c r="B91" s="25" t="s">
        <v>176</v>
      </c>
      <c r="C91" s="25" t="s">
        <v>169</v>
      </c>
      <c r="D91" s="25" t="s">
        <v>168</v>
      </c>
      <c r="E91" s="41">
        <v>10300</v>
      </c>
      <c r="F91" s="41">
        <v>1030</v>
      </c>
      <c r="G91" s="41">
        <v>0</v>
      </c>
      <c r="H91" s="41">
        <f t="shared" si="4"/>
        <v>1668.6</v>
      </c>
      <c r="I91" s="41">
        <f t="shared" si="3"/>
        <v>10938.6</v>
      </c>
    </row>
    <row r="92" spans="1:9" ht="13.8" x14ac:dyDescent="0.3">
      <c r="A92" s="25" t="s">
        <v>175</v>
      </c>
      <c r="B92" s="25" t="s">
        <v>174</v>
      </c>
      <c r="C92" s="25" t="s">
        <v>169</v>
      </c>
      <c r="D92" s="25" t="s">
        <v>168</v>
      </c>
      <c r="E92" s="41">
        <v>15600</v>
      </c>
      <c r="F92" s="41">
        <v>1560</v>
      </c>
      <c r="G92" s="41">
        <v>0</v>
      </c>
      <c r="H92" s="41">
        <f t="shared" si="4"/>
        <v>2527.1999999999998</v>
      </c>
      <c r="I92" s="41">
        <f t="shared" si="3"/>
        <v>16567.2</v>
      </c>
    </row>
    <row r="93" spans="1:9" ht="13.8" x14ac:dyDescent="0.3">
      <c r="A93" s="25" t="s">
        <v>173</v>
      </c>
      <c r="B93" s="25" t="s">
        <v>172</v>
      </c>
      <c r="C93" s="25" t="s">
        <v>169</v>
      </c>
      <c r="D93" s="25" t="s">
        <v>168</v>
      </c>
      <c r="E93" s="41">
        <v>1500</v>
      </c>
      <c r="F93" s="41">
        <v>150</v>
      </c>
      <c r="G93" s="41">
        <v>0</v>
      </c>
      <c r="H93" s="41">
        <f t="shared" si="4"/>
        <v>243</v>
      </c>
      <c r="I93" s="41">
        <f t="shared" si="3"/>
        <v>1593</v>
      </c>
    </row>
    <row r="94" spans="1:9" ht="13.8" x14ac:dyDescent="0.3">
      <c r="A94" s="25" t="s">
        <v>171</v>
      </c>
      <c r="B94" s="25" t="s">
        <v>170</v>
      </c>
      <c r="C94" s="25" t="s">
        <v>169</v>
      </c>
      <c r="D94" s="25" t="s">
        <v>168</v>
      </c>
      <c r="E94" s="41">
        <v>4900</v>
      </c>
      <c r="F94" s="41">
        <v>490</v>
      </c>
      <c r="G94" s="41">
        <v>0</v>
      </c>
      <c r="H94" s="41">
        <f t="shared" si="4"/>
        <v>793.8</v>
      </c>
      <c r="I94" s="41">
        <f t="shared" si="3"/>
        <v>5203.8</v>
      </c>
    </row>
    <row r="95" spans="1:9" ht="13.8" x14ac:dyDescent="0.3">
      <c r="A95" s="25" t="s">
        <v>167</v>
      </c>
      <c r="B95" s="25" t="s">
        <v>166</v>
      </c>
      <c r="C95" s="25" t="s">
        <v>165</v>
      </c>
      <c r="D95" s="25" t="s">
        <v>164</v>
      </c>
      <c r="E95" s="41">
        <v>7900</v>
      </c>
      <c r="F95" s="41">
        <v>0</v>
      </c>
      <c r="G95" s="41">
        <v>0</v>
      </c>
      <c r="H95" s="41">
        <f t="shared" si="4"/>
        <v>1422</v>
      </c>
      <c r="I95" s="41">
        <f t="shared" si="3"/>
        <v>9322</v>
      </c>
    </row>
    <row r="96" spans="1:9" ht="13.8" x14ac:dyDescent="0.3">
      <c r="A96" s="25" t="s">
        <v>163</v>
      </c>
      <c r="B96" s="25" t="s">
        <v>162</v>
      </c>
      <c r="C96" s="25" t="s">
        <v>148</v>
      </c>
      <c r="D96" s="25" t="s">
        <v>147</v>
      </c>
      <c r="E96" s="41">
        <v>3600</v>
      </c>
      <c r="F96" s="41">
        <v>0</v>
      </c>
      <c r="G96" s="41">
        <v>0</v>
      </c>
      <c r="H96" s="41">
        <f t="shared" si="4"/>
        <v>648</v>
      </c>
      <c r="I96" s="41">
        <f t="shared" si="3"/>
        <v>4248</v>
      </c>
    </row>
    <row r="97" spans="1:9" ht="13.8" x14ac:dyDescent="0.3">
      <c r="A97" s="25" t="s">
        <v>161</v>
      </c>
      <c r="B97" s="25" t="s">
        <v>160</v>
      </c>
      <c r="C97" s="25" t="s">
        <v>148</v>
      </c>
      <c r="D97" s="25" t="s">
        <v>147</v>
      </c>
      <c r="E97" s="41">
        <v>25000</v>
      </c>
      <c r="F97" s="41">
        <v>0</v>
      </c>
      <c r="G97" s="41">
        <v>0</v>
      </c>
      <c r="H97" s="41">
        <f t="shared" si="4"/>
        <v>4500</v>
      </c>
      <c r="I97" s="41">
        <f t="shared" si="3"/>
        <v>29500</v>
      </c>
    </row>
    <row r="98" spans="1:9" ht="13.8" x14ac:dyDescent="0.3">
      <c r="A98" s="25" t="s">
        <v>159</v>
      </c>
      <c r="B98" s="25" t="s">
        <v>158</v>
      </c>
      <c r="C98" s="25" t="s">
        <v>148</v>
      </c>
      <c r="D98" s="25" t="s">
        <v>153</v>
      </c>
      <c r="E98" s="41">
        <v>3600</v>
      </c>
      <c r="F98" s="41">
        <v>0</v>
      </c>
      <c r="G98" s="41">
        <v>0</v>
      </c>
      <c r="H98" s="41">
        <f t="shared" si="4"/>
        <v>648</v>
      </c>
      <c r="I98" s="41">
        <f t="shared" si="3"/>
        <v>4248</v>
      </c>
    </row>
    <row r="99" spans="1:9" ht="13.8" x14ac:dyDescent="0.3">
      <c r="A99" s="25" t="s">
        <v>157</v>
      </c>
      <c r="B99" s="25" t="s">
        <v>156</v>
      </c>
      <c r="C99" s="25" t="s">
        <v>148</v>
      </c>
      <c r="D99" s="25" t="s">
        <v>153</v>
      </c>
      <c r="E99" s="41">
        <v>7800</v>
      </c>
      <c r="F99" s="41">
        <v>0</v>
      </c>
      <c r="G99" s="41">
        <v>0</v>
      </c>
      <c r="H99" s="41">
        <f t="shared" si="4"/>
        <v>1404</v>
      </c>
      <c r="I99" s="41">
        <f t="shared" si="3"/>
        <v>9204</v>
      </c>
    </row>
    <row r="100" spans="1:9" ht="13.8" x14ac:dyDescent="0.3">
      <c r="A100" s="25" t="s">
        <v>155</v>
      </c>
      <c r="B100" s="25" t="s">
        <v>154</v>
      </c>
      <c r="C100" s="25" t="s">
        <v>148</v>
      </c>
      <c r="D100" s="25" t="s">
        <v>153</v>
      </c>
      <c r="E100" s="41">
        <v>6800</v>
      </c>
      <c r="F100" s="41">
        <v>0</v>
      </c>
      <c r="G100" s="41">
        <v>0</v>
      </c>
      <c r="H100" s="41">
        <f t="shared" si="4"/>
        <v>1224</v>
      </c>
      <c r="I100" s="41">
        <f t="shared" si="3"/>
        <v>8024</v>
      </c>
    </row>
    <row r="101" spans="1:9" ht="13.8" x14ac:dyDescent="0.3">
      <c r="A101" s="25" t="s">
        <v>152</v>
      </c>
      <c r="B101" s="25" t="s">
        <v>151</v>
      </c>
      <c r="C101" s="25" t="s">
        <v>148</v>
      </c>
      <c r="D101" s="25" t="s">
        <v>147</v>
      </c>
      <c r="E101" s="41">
        <v>5600</v>
      </c>
      <c r="F101" s="41">
        <v>0</v>
      </c>
      <c r="G101" s="41">
        <v>0</v>
      </c>
      <c r="H101" s="41">
        <f t="shared" si="4"/>
        <v>1008</v>
      </c>
      <c r="I101" s="41">
        <f t="shared" si="3"/>
        <v>6608</v>
      </c>
    </row>
    <row r="102" spans="1:9" ht="13.8" x14ac:dyDescent="0.3">
      <c r="A102" s="25" t="s">
        <v>150</v>
      </c>
      <c r="B102" s="25" t="s">
        <v>149</v>
      </c>
      <c r="C102" s="25" t="s">
        <v>148</v>
      </c>
      <c r="D102" s="25" t="s">
        <v>147</v>
      </c>
      <c r="E102" s="41">
        <v>5400</v>
      </c>
      <c r="F102" s="41">
        <v>0</v>
      </c>
      <c r="G102" s="41">
        <v>0</v>
      </c>
      <c r="H102" s="41">
        <f t="shared" si="4"/>
        <v>972</v>
      </c>
      <c r="I102" s="41">
        <f t="shared" si="3"/>
        <v>6372</v>
      </c>
    </row>
    <row r="103" spans="1:9" ht="13.8" x14ac:dyDescent="0.3">
      <c r="A103" s="25" t="s">
        <v>146</v>
      </c>
      <c r="B103" s="25" t="s">
        <v>145</v>
      </c>
      <c r="C103" s="25" t="s">
        <v>118</v>
      </c>
      <c r="D103" s="25" t="s">
        <v>117</v>
      </c>
      <c r="E103" s="41">
        <v>8600</v>
      </c>
      <c r="F103" s="41">
        <v>1290</v>
      </c>
      <c r="G103" s="41">
        <v>0</v>
      </c>
      <c r="H103" s="41">
        <f t="shared" si="4"/>
        <v>1315.8</v>
      </c>
      <c r="I103" s="41">
        <f t="shared" si="3"/>
        <v>8625.7999999999993</v>
      </c>
    </row>
    <row r="104" spans="1:9" ht="13.8" x14ac:dyDescent="0.3">
      <c r="A104" s="25" t="s">
        <v>144</v>
      </c>
      <c r="B104" s="25" t="s">
        <v>143</v>
      </c>
      <c r="C104" s="25" t="s">
        <v>118</v>
      </c>
      <c r="D104" s="25" t="s">
        <v>117</v>
      </c>
      <c r="E104" s="41">
        <v>6900</v>
      </c>
      <c r="F104" s="41">
        <v>1035</v>
      </c>
      <c r="G104" s="41">
        <v>0</v>
      </c>
      <c r="H104" s="41">
        <f t="shared" si="4"/>
        <v>1055.7</v>
      </c>
      <c r="I104" s="41">
        <f t="shared" si="3"/>
        <v>6920.7</v>
      </c>
    </row>
    <row r="105" spans="1:9" ht="13.8" x14ac:dyDescent="0.3">
      <c r="A105" s="25" t="s">
        <v>142</v>
      </c>
      <c r="B105" s="25" t="s">
        <v>141</v>
      </c>
      <c r="C105" s="25" t="s">
        <v>118</v>
      </c>
      <c r="D105" s="25" t="s">
        <v>117</v>
      </c>
      <c r="E105" s="41">
        <v>12800</v>
      </c>
      <c r="F105" s="41">
        <v>1920</v>
      </c>
      <c r="G105" s="41">
        <v>0</v>
      </c>
      <c r="H105" s="41">
        <f t="shared" si="4"/>
        <v>1958.3999999999999</v>
      </c>
      <c r="I105" s="41">
        <f t="shared" si="3"/>
        <v>12838.4</v>
      </c>
    </row>
    <row r="106" spans="1:9" ht="13.8" x14ac:dyDescent="0.3">
      <c r="A106" s="25" t="s">
        <v>140</v>
      </c>
      <c r="B106" s="25" t="s">
        <v>139</v>
      </c>
      <c r="C106" s="25" t="s">
        <v>118</v>
      </c>
      <c r="D106" s="25" t="s">
        <v>117</v>
      </c>
      <c r="E106" s="41">
        <v>9400</v>
      </c>
      <c r="F106" s="41">
        <v>1410</v>
      </c>
      <c r="G106" s="41">
        <v>0</v>
      </c>
      <c r="H106" s="41">
        <f t="shared" si="4"/>
        <v>1438.2</v>
      </c>
      <c r="I106" s="41">
        <f t="shared" si="3"/>
        <v>9428.2000000000007</v>
      </c>
    </row>
    <row r="107" spans="1:9" ht="13.8" x14ac:dyDescent="0.3">
      <c r="A107" s="25" t="s">
        <v>138</v>
      </c>
      <c r="B107" s="25" t="s">
        <v>137</v>
      </c>
      <c r="C107" s="25" t="s">
        <v>118</v>
      </c>
      <c r="D107" s="25" t="s">
        <v>117</v>
      </c>
      <c r="E107" s="41">
        <v>5600</v>
      </c>
      <c r="F107" s="41">
        <v>840</v>
      </c>
      <c r="G107" s="41">
        <v>0</v>
      </c>
      <c r="H107" s="41">
        <f t="shared" si="4"/>
        <v>856.8</v>
      </c>
      <c r="I107" s="41">
        <f t="shared" si="3"/>
        <v>5616.8</v>
      </c>
    </row>
    <row r="108" spans="1:9" ht="13.8" x14ac:dyDescent="0.3">
      <c r="A108" s="25" t="s">
        <v>136</v>
      </c>
      <c r="B108" s="25" t="s">
        <v>135</v>
      </c>
      <c r="C108" s="25" t="s">
        <v>118</v>
      </c>
      <c r="D108" s="25" t="s">
        <v>117</v>
      </c>
      <c r="E108" s="41">
        <v>4800</v>
      </c>
      <c r="F108" s="41">
        <v>720</v>
      </c>
      <c r="G108" s="41">
        <v>0</v>
      </c>
      <c r="H108" s="41">
        <f t="shared" si="4"/>
        <v>734.4</v>
      </c>
      <c r="I108" s="41">
        <f t="shared" si="3"/>
        <v>4814.3999999999996</v>
      </c>
    </row>
    <row r="109" spans="1:9" ht="13.8" x14ac:dyDescent="0.3">
      <c r="A109" s="25" t="s">
        <v>134</v>
      </c>
      <c r="B109" s="25" t="s">
        <v>133</v>
      </c>
      <c r="C109" s="25" t="s">
        <v>118</v>
      </c>
      <c r="D109" s="25" t="s">
        <v>117</v>
      </c>
      <c r="E109" s="41">
        <v>15600</v>
      </c>
      <c r="F109" s="41">
        <v>2340</v>
      </c>
      <c r="G109" s="41">
        <v>0</v>
      </c>
      <c r="H109" s="41">
        <f t="shared" si="4"/>
        <v>2386.7999999999997</v>
      </c>
      <c r="I109" s="41">
        <f t="shared" si="3"/>
        <v>15646.8</v>
      </c>
    </row>
    <row r="110" spans="1:9" ht="13.8" x14ac:dyDescent="0.3">
      <c r="A110" s="25" t="s">
        <v>132</v>
      </c>
      <c r="B110" s="25" t="s">
        <v>131</v>
      </c>
      <c r="C110" s="25" t="s">
        <v>118</v>
      </c>
      <c r="D110" s="25" t="s">
        <v>117</v>
      </c>
      <c r="E110" s="41">
        <v>13600</v>
      </c>
      <c r="F110" s="41">
        <v>2040</v>
      </c>
      <c r="G110" s="41">
        <v>0</v>
      </c>
      <c r="H110" s="41">
        <f t="shared" si="4"/>
        <v>2080.7999999999997</v>
      </c>
      <c r="I110" s="41">
        <f t="shared" si="3"/>
        <v>13640.8</v>
      </c>
    </row>
    <row r="111" spans="1:9" ht="13.8" x14ac:dyDescent="0.3">
      <c r="A111" s="25" t="s">
        <v>130</v>
      </c>
      <c r="B111" s="25" t="s">
        <v>129</v>
      </c>
      <c r="C111" s="25" t="s">
        <v>118</v>
      </c>
      <c r="D111" s="25" t="s">
        <v>117</v>
      </c>
      <c r="E111" s="41">
        <v>8500</v>
      </c>
      <c r="F111" s="41">
        <v>1275</v>
      </c>
      <c r="G111" s="41">
        <v>0</v>
      </c>
      <c r="H111" s="41">
        <f t="shared" si="4"/>
        <v>1300.5</v>
      </c>
      <c r="I111" s="41">
        <f t="shared" ref="I111:I122" si="5">E111+G111-F111+H111</f>
        <v>8525.5</v>
      </c>
    </row>
    <row r="112" spans="1:9" ht="13.8" x14ac:dyDescent="0.3">
      <c r="A112" s="25" t="s">
        <v>128</v>
      </c>
      <c r="B112" s="25" t="s">
        <v>127</v>
      </c>
      <c r="C112" s="25" t="s">
        <v>118</v>
      </c>
      <c r="D112" s="25" t="s">
        <v>117</v>
      </c>
      <c r="E112" s="41">
        <v>12000</v>
      </c>
      <c r="F112" s="41">
        <v>1800</v>
      </c>
      <c r="G112" s="41">
        <v>0</v>
      </c>
      <c r="H112" s="41">
        <f t="shared" si="4"/>
        <v>1836</v>
      </c>
      <c r="I112" s="41">
        <f t="shared" si="5"/>
        <v>12036</v>
      </c>
    </row>
    <row r="113" spans="1:9" ht="13.8" x14ac:dyDescent="0.3">
      <c r="A113" s="25" t="s">
        <v>126</v>
      </c>
      <c r="B113" s="25" t="s">
        <v>125</v>
      </c>
      <c r="C113" s="25" t="s">
        <v>118</v>
      </c>
      <c r="D113" s="25" t="s">
        <v>117</v>
      </c>
      <c r="E113" s="41">
        <v>35000</v>
      </c>
      <c r="F113" s="41">
        <v>5250</v>
      </c>
      <c r="G113" s="41">
        <v>0</v>
      </c>
      <c r="H113" s="41">
        <f t="shared" si="4"/>
        <v>5355</v>
      </c>
      <c r="I113" s="41">
        <f t="shared" si="5"/>
        <v>35105</v>
      </c>
    </row>
    <row r="114" spans="1:9" ht="13.8" x14ac:dyDescent="0.3">
      <c r="A114" s="25" t="s">
        <v>124</v>
      </c>
      <c r="B114" s="25" t="s">
        <v>123</v>
      </c>
      <c r="C114" s="25" t="s">
        <v>118</v>
      </c>
      <c r="D114" s="25" t="s">
        <v>117</v>
      </c>
      <c r="E114" s="41">
        <v>4550</v>
      </c>
      <c r="F114" s="41">
        <v>682.5</v>
      </c>
      <c r="G114" s="41">
        <v>0</v>
      </c>
      <c r="H114" s="41">
        <f t="shared" si="4"/>
        <v>696.15</v>
      </c>
      <c r="I114" s="41">
        <f t="shared" si="5"/>
        <v>4563.6499999999996</v>
      </c>
    </row>
    <row r="115" spans="1:9" ht="13.8" x14ac:dyDescent="0.3">
      <c r="A115" s="25" t="s">
        <v>122</v>
      </c>
      <c r="B115" s="25" t="s">
        <v>121</v>
      </c>
      <c r="C115" s="25" t="s">
        <v>118</v>
      </c>
      <c r="D115" s="25" t="s">
        <v>117</v>
      </c>
      <c r="E115" s="41">
        <v>8720</v>
      </c>
      <c r="F115" s="41">
        <v>1308</v>
      </c>
      <c r="G115" s="41">
        <v>0</v>
      </c>
      <c r="H115" s="41">
        <f t="shared" si="4"/>
        <v>1334.1599999999999</v>
      </c>
      <c r="I115" s="41">
        <f t="shared" si="5"/>
        <v>8746.16</v>
      </c>
    </row>
    <row r="116" spans="1:9" ht="13.8" x14ac:dyDescent="0.3">
      <c r="A116" s="25" t="s">
        <v>120</v>
      </c>
      <c r="B116" s="25" t="s">
        <v>119</v>
      </c>
      <c r="C116" s="25" t="s">
        <v>118</v>
      </c>
      <c r="D116" s="25" t="s">
        <v>117</v>
      </c>
      <c r="E116" s="41">
        <v>12900</v>
      </c>
      <c r="F116" s="41">
        <v>1935</v>
      </c>
      <c r="G116" s="41">
        <v>0</v>
      </c>
      <c r="H116" s="41">
        <f t="shared" si="4"/>
        <v>1973.6999999999998</v>
      </c>
      <c r="I116" s="41">
        <f t="shared" si="5"/>
        <v>12938.7</v>
      </c>
    </row>
    <row r="117" spans="1:9" ht="13.8" x14ac:dyDescent="0.3">
      <c r="A117" s="25" t="s">
        <v>116</v>
      </c>
      <c r="B117" s="25" t="s">
        <v>115</v>
      </c>
      <c r="C117" s="25" t="s">
        <v>104</v>
      </c>
      <c r="D117" s="25" t="s">
        <v>103</v>
      </c>
      <c r="E117" s="41">
        <v>22600</v>
      </c>
      <c r="F117" s="41">
        <v>0</v>
      </c>
      <c r="G117" s="41">
        <v>1130</v>
      </c>
      <c r="H117" s="41">
        <f t="shared" si="4"/>
        <v>4271.3999999999996</v>
      </c>
      <c r="I117" s="41">
        <f t="shared" si="5"/>
        <v>28001.4</v>
      </c>
    </row>
    <row r="118" spans="1:9" ht="13.8" x14ac:dyDescent="0.3">
      <c r="A118" s="25" t="s">
        <v>114</v>
      </c>
      <c r="B118" s="25" t="s">
        <v>113</v>
      </c>
      <c r="C118" s="25" t="s">
        <v>104</v>
      </c>
      <c r="D118" s="25" t="s">
        <v>103</v>
      </c>
      <c r="E118" s="41">
        <v>21300</v>
      </c>
      <c r="F118" s="41">
        <v>0</v>
      </c>
      <c r="G118" s="41">
        <v>1065</v>
      </c>
      <c r="H118" s="41">
        <f t="shared" si="4"/>
        <v>4025.7</v>
      </c>
      <c r="I118" s="41">
        <f t="shared" si="5"/>
        <v>26390.7</v>
      </c>
    </row>
    <row r="119" spans="1:9" ht="13.8" x14ac:dyDescent="0.3">
      <c r="A119" s="25" t="s">
        <v>112</v>
      </c>
      <c r="B119" s="25" t="s">
        <v>111</v>
      </c>
      <c r="C119" s="25" t="s">
        <v>104</v>
      </c>
      <c r="D119" s="25" t="s">
        <v>103</v>
      </c>
      <c r="E119" s="41">
        <v>25000</v>
      </c>
      <c r="F119" s="41">
        <v>0</v>
      </c>
      <c r="G119" s="41">
        <v>1250</v>
      </c>
      <c r="H119" s="41">
        <f t="shared" si="4"/>
        <v>4725</v>
      </c>
      <c r="I119" s="41">
        <f t="shared" si="5"/>
        <v>30975</v>
      </c>
    </row>
    <row r="120" spans="1:9" ht="13.8" x14ac:dyDescent="0.3">
      <c r="A120" s="25" t="s">
        <v>110</v>
      </c>
      <c r="B120" s="25" t="s">
        <v>109</v>
      </c>
      <c r="C120" s="25" t="s">
        <v>104</v>
      </c>
      <c r="D120" s="25" t="s">
        <v>103</v>
      </c>
      <c r="E120" s="41">
        <v>27000</v>
      </c>
      <c r="F120" s="41">
        <v>0</v>
      </c>
      <c r="G120" s="41">
        <v>1350</v>
      </c>
      <c r="H120" s="41">
        <f t="shared" si="4"/>
        <v>5103</v>
      </c>
      <c r="I120" s="41">
        <f t="shared" si="5"/>
        <v>33453</v>
      </c>
    </row>
    <row r="121" spans="1:9" ht="13.8" x14ac:dyDescent="0.3">
      <c r="A121" s="25" t="s">
        <v>108</v>
      </c>
      <c r="B121" s="25" t="s">
        <v>107</v>
      </c>
      <c r="C121" s="25" t="s">
        <v>104</v>
      </c>
      <c r="D121" s="25" t="s">
        <v>103</v>
      </c>
      <c r="E121" s="41">
        <v>24500</v>
      </c>
      <c r="F121" s="41">
        <v>0</v>
      </c>
      <c r="G121" s="41">
        <v>1225</v>
      </c>
      <c r="H121" s="41">
        <f t="shared" si="4"/>
        <v>4630.5</v>
      </c>
      <c r="I121" s="41">
        <f t="shared" si="5"/>
        <v>30355.5</v>
      </c>
    </row>
    <row r="122" spans="1:9" ht="13.8" x14ac:dyDescent="0.3">
      <c r="A122" s="25" t="s">
        <v>106</v>
      </c>
      <c r="B122" s="25" t="s">
        <v>105</v>
      </c>
      <c r="C122" s="25" t="s">
        <v>104</v>
      </c>
      <c r="D122" s="25" t="s">
        <v>103</v>
      </c>
      <c r="E122" s="41">
        <v>18600</v>
      </c>
      <c r="F122" s="41">
        <v>0</v>
      </c>
      <c r="G122" s="41">
        <v>930</v>
      </c>
      <c r="H122" s="41">
        <f t="shared" si="4"/>
        <v>3515.4</v>
      </c>
      <c r="I122" s="41">
        <f t="shared" si="5"/>
        <v>23045.4</v>
      </c>
    </row>
  </sheetData>
  <conditionalFormatting sqref="A9:A13">
    <cfRule type="cellIs" dxfId="27" priority="1" stopIfTrue="1" operator="greaterThan">
      <formula>0</formula>
    </cfRule>
  </conditionalFormatting>
  <pageMargins left="0.75" right="0.75" top="1" bottom="1" header="0" footer="0"/>
  <pageSetup scale="55" fitToHeight="2" orientation="portrait" verticalDpi="144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0BE8F-3E24-483C-BA59-1B91AD9349C1}">
  <sheetPr codeName="Hoja6"/>
  <dimension ref="A7:H37"/>
  <sheetViews>
    <sheetView showGridLines="0" topLeftCell="A2" zoomScale="145" zoomScaleNormal="145" workbookViewId="0">
      <selection activeCell="C16" sqref="C16"/>
    </sheetView>
  </sheetViews>
  <sheetFormatPr baseColWidth="10" defaultColWidth="11.44140625" defaultRowHeight="13.2" x14ac:dyDescent="0.25"/>
  <cols>
    <col min="1" max="1" width="30.109375" style="1" customWidth="1"/>
    <col min="2" max="2" width="21.44140625" style="1" customWidth="1"/>
    <col min="3" max="3" width="18" style="1" customWidth="1"/>
    <col min="4" max="4" width="16.44140625" style="1" bestFit="1" customWidth="1"/>
    <col min="5" max="5" width="17.88671875" style="1" customWidth="1"/>
    <col min="6" max="6" width="10.44140625" style="1" customWidth="1"/>
    <col min="7" max="7" width="13.88671875" style="1" customWidth="1"/>
    <col min="8" max="8" width="13" style="1" bestFit="1" customWidth="1"/>
    <col min="9" max="9" width="12.44140625" style="1" bestFit="1" customWidth="1"/>
    <col min="10" max="10" width="11.44140625" style="1"/>
    <col min="11" max="11" width="16.33203125" style="1" bestFit="1" customWidth="1"/>
    <col min="12" max="16384" width="11.44140625" style="1"/>
  </cols>
  <sheetData>
    <row r="7" spans="1:7" ht="14.4" x14ac:dyDescent="0.3">
      <c r="A7"/>
    </row>
    <row r="8" spans="1:7" ht="14.4" x14ac:dyDescent="0.3">
      <c r="A8"/>
      <c r="B8" s="2">
        <v>2</v>
      </c>
      <c r="C8" s="2"/>
    </row>
    <row r="9" spans="1:7" ht="14.4" x14ac:dyDescent="0.3">
      <c r="A9"/>
      <c r="B9" s="2">
        <v>2</v>
      </c>
    </row>
    <row r="10" spans="1:7" ht="14.4" x14ac:dyDescent="0.3">
      <c r="A10"/>
    </row>
    <row r="11" spans="1:7" ht="14.4" x14ac:dyDescent="0.3">
      <c r="A11"/>
    </row>
    <row r="15" spans="1:7" ht="23.25" customHeight="1" x14ac:dyDescent="0.25">
      <c r="A15" s="23" t="s">
        <v>102</v>
      </c>
      <c r="B15" s="23" t="s">
        <v>101</v>
      </c>
      <c r="C15" s="23" t="s">
        <v>100</v>
      </c>
      <c r="D15" s="23" t="s">
        <v>99</v>
      </c>
      <c r="E15" s="23" t="s">
        <v>98</v>
      </c>
      <c r="F15" s="23" t="s">
        <v>97</v>
      </c>
      <c r="G15" s="23" t="s">
        <v>96</v>
      </c>
    </row>
    <row r="16" spans="1:7" ht="13.8" x14ac:dyDescent="0.3">
      <c r="A16" s="22" t="s">
        <v>95</v>
      </c>
      <c r="B16" s="21">
        <v>25</v>
      </c>
      <c r="C16" s="21" t="s">
        <v>72</v>
      </c>
      <c r="D16" s="21" t="s">
        <v>74</v>
      </c>
      <c r="E16" s="21" t="s">
        <v>66</v>
      </c>
      <c r="F16" s="21">
        <v>1</v>
      </c>
      <c r="G16" s="40">
        <v>250000</v>
      </c>
    </row>
    <row r="17" spans="1:7" ht="13.8" x14ac:dyDescent="0.3">
      <c r="A17" s="22" t="s">
        <v>94</v>
      </c>
      <c r="B17" s="21">
        <v>30</v>
      </c>
      <c r="C17" s="21" t="s">
        <v>80</v>
      </c>
      <c r="D17" s="21" t="s">
        <v>71</v>
      </c>
      <c r="E17" s="21" t="s">
        <v>70</v>
      </c>
      <c r="F17" s="21">
        <v>2</v>
      </c>
      <c r="G17" s="40">
        <v>180000</v>
      </c>
    </row>
    <row r="18" spans="1:7" ht="13.8" x14ac:dyDescent="0.3">
      <c r="A18" s="22" t="s">
        <v>93</v>
      </c>
      <c r="B18" s="21">
        <v>42</v>
      </c>
      <c r="C18" s="21" t="s">
        <v>68</v>
      </c>
      <c r="D18" s="21" t="s">
        <v>71</v>
      </c>
      <c r="E18" s="21" t="s">
        <v>70</v>
      </c>
      <c r="F18" s="21">
        <v>3</v>
      </c>
      <c r="G18" s="40">
        <v>180000</v>
      </c>
    </row>
    <row r="19" spans="1:7" ht="13.8" x14ac:dyDescent="0.3">
      <c r="A19" s="22" t="s">
        <v>92</v>
      </c>
      <c r="B19" s="21">
        <v>35</v>
      </c>
      <c r="C19" s="21" t="s">
        <v>77</v>
      </c>
      <c r="D19" s="21" t="s">
        <v>67</v>
      </c>
      <c r="E19" s="21" t="s">
        <v>66</v>
      </c>
      <c r="F19" s="21">
        <v>1</v>
      </c>
      <c r="G19" s="40">
        <v>350000</v>
      </c>
    </row>
    <row r="20" spans="1:7" ht="13.8" x14ac:dyDescent="0.3">
      <c r="A20" s="22" t="s">
        <v>91</v>
      </c>
      <c r="B20" s="21">
        <v>23</v>
      </c>
      <c r="C20" s="21" t="s">
        <v>80</v>
      </c>
      <c r="D20" s="21" t="s">
        <v>74</v>
      </c>
      <c r="E20" s="21" t="s">
        <v>66</v>
      </c>
      <c r="F20" s="21">
        <v>1</v>
      </c>
      <c r="G20" s="40">
        <v>250000</v>
      </c>
    </row>
    <row r="21" spans="1:7" ht="13.8" x14ac:dyDescent="0.3">
      <c r="A21" s="22" t="s">
        <v>90</v>
      </c>
      <c r="B21" s="21">
        <v>20</v>
      </c>
      <c r="C21" s="21" t="s">
        <v>75</v>
      </c>
      <c r="D21" s="21" t="s">
        <v>71</v>
      </c>
      <c r="E21" s="21" t="s">
        <v>70</v>
      </c>
      <c r="F21" s="21">
        <v>1</v>
      </c>
      <c r="G21" s="40">
        <v>180000</v>
      </c>
    </row>
    <row r="22" spans="1:7" ht="13.8" x14ac:dyDescent="0.3">
      <c r="A22" s="22" t="s">
        <v>89</v>
      </c>
      <c r="B22" s="21">
        <v>36</v>
      </c>
      <c r="C22" s="21" t="s">
        <v>72</v>
      </c>
      <c r="D22" s="21" t="s">
        <v>74</v>
      </c>
      <c r="E22" s="21" t="s">
        <v>66</v>
      </c>
      <c r="F22" s="21">
        <v>1</v>
      </c>
      <c r="G22" s="40">
        <v>250000</v>
      </c>
    </row>
    <row r="23" spans="1:7" ht="13.8" x14ac:dyDescent="0.3">
      <c r="A23" s="22" t="s">
        <v>88</v>
      </c>
      <c r="B23" s="21">
        <v>40</v>
      </c>
      <c r="C23" s="21" t="s">
        <v>80</v>
      </c>
      <c r="D23" s="21" t="s">
        <v>71</v>
      </c>
      <c r="E23" s="21" t="s">
        <v>66</v>
      </c>
      <c r="F23" s="21">
        <v>1</v>
      </c>
      <c r="G23" s="40">
        <v>180000</v>
      </c>
    </row>
    <row r="24" spans="1:7" ht="13.8" x14ac:dyDescent="0.3">
      <c r="A24" s="22" t="s">
        <v>87</v>
      </c>
      <c r="B24" s="21">
        <v>45</v>
      </c>
      <c r="C24" s="21" t="s">
        <v>77</v>
      </c>
      <c r="D24" s="21" t="s">
        <v>67</v>
      </c>
      <c r="E24" s="21" t="s">
        <v>70</v>
      </c>
      <c r="F24" s="21">
        <v>3</v>
      </c>
      <c r="G24" s="40">
        <v>350000</v>
      </c>
    </row>
    <row r="25" spans="1:7" ht="13.8" x14ac:dyDescent="0.3">
      <c r="A25" s="22" t="s">
        <v>86</v>
      </c>
      <c r="B25" s="21">
        <v>28</v>
      </c>
      <c r="C25" s="21" t="s">
        <v>68</v>
      </c>
      <c r="D25" s="21" t="s">
        <v>74</v>
      </c>
      <c r="E25" s="21" t="s">
        <v>70</v>
      </c>
      <c r="F25" s="21">
        <v>3</v>
      </c>
      <c r="G25" s="40">
        <v>250000</v>
      </c>
    </row>
    <row r="26" spans="1:7" ht="13.8" x14ac:dyDescent="0.3">
      <c r="A26" s="22" t="s">
        <v>85</v>
      </c>
      <c r="B26" s="21">
        <v>37</v>
      </c>
      <c r="C26" s="21" t="s">
        <v>75</v>
      </c>
      <c r="D26" s="21" t="s">
        <v>71</v>
      </c>
      <c r="E26" s="21" t="s">
        <v>66</v>
      </c>
      <c r="F26" s="21">
        <v>1</v>
      </c>
      <c r="G26" s="40">
        <v>180000</v>
      </c>
    </row>
    <row r="27" spans="1:7" ht="13.8" x14ac:dyDescent="0.3">
      <c r="A27" s="22" t="s">
        <v>84</v>
      </c>
      <c r="B27" s="21">
        <v>50</v>
      </c>
      <c r="C27" s="21" t="s">
        <v>68</v>
      </c>
      <c r="D27" s="21" t="s">
        <v>71</v>
      </c>
      <c r="E27" s="21" t="s">
        <v>66</v>
      </c>
      <c r="F27" s="21">
        <v>1</v>
      </c>
      <c r="G27" s="40">
        <v>180000</v>
      </c>
    </row>
    <row r="28" spans="1:7" ht="13.8" x14ac:dyDescent="0.3">
      <c r="A28" s="22" t="s">
        <v>83</v>
      </c>
      <c r="B28" s="21">
        <v>46</v>
      </c>
      <c r="C28" s="21" t="s">
        <v>72</v>
      </c>
      <c r="D28" s="21" t="s">
        <v>71</v>
      </c>
      <c r="E28" s="21" t="s">
        <v>70</v>
      </c>
      <c r="F28" s="21">
        <v>2</v>
      </c>
      <c r="G28" s="40">
        <v>180000</v>
      </c>
    </row>
    <row r="29" spans="1:7" ht="13.8" x14ac:dyDescent="0.3">
      <c r="A29" s="22" t="s">
        <v>82</v>
      </c>
      <c r="B29" s="21">
        <v>22</v>
      </c>
      <c r="C29" s="21" t="s">
        <v>77</v>
      </c>
      <c r="D29" s="21" t="s">
        <v>74</v>
      </c>
      <c r="E29" s="21" t="s">
        <v>66</v>
      </c>
      <c r="F29" s="21">
        <v>1</v>
      </c>
      <c r="G29" s="40">
        <v>250000</v>
      </c>
    </row>
    <row r="30" spans="1:7" ht="13.8" x14ac:dyDescent="0.3">
      <c r="A30" s="22" t="s">
        <v>81</v>
      </c>
      <c r="B30" s="21">
        <v>36</v>
      </c>
      <c r="C30" s="21" t="s">
        <v>80</v>
      </c>
      <c r="D30" s="21" t="s">
        <v>71</v>
      </c>
      <c r="E30" s="21" t="s">
        <v>70</v>
      </c>
      <c r="F30" s="21">
        <v>3</v>
      </c>
      <c r="G30" s="40">
        <v>180000</v>
      </c>
    </row>
    <row r="31" spans="1:7" ht="13.8" x14ac:dyDescent="0.3">
      <c r="A31" s="22" t="s">
        <v>79</v>
      </c>
      <c r="B31" s="21">
        <v>45</v>
      </c>
      <c r="C31" s="21" t="s">
        <v>72</v>
      </c>
      <c r="D31" s="21" t="s">
        <v>71</v>
      </c>
      <c r="E31" s="21" t="s">
        <v>70</v>
      </c>
      <c r="F31" s="21">
        <v>2</v>
      </c>
      <c r="G31" s="40">
        <v>180000</v>
      </c>
    </row>
    <row r="32" spans="1:7" ht="13.8" x14ac:dyDescent="0.3">
      <c r="A32" s="22" t="s">
        <v>78</v>
      </c>
      <c r="B32" s="21">
        <v>33</v>
      </c>
      <c r="C32" s="21" t="s">
        <v>77</v>
      </c>
      <c r="D32" s="21" t="s">
        <v>67</v>
      </c>
      <c r="E32" s="21" t="s">
        <v>66</v>
      </c>
      <c r="F32" s="21">
        <v>1</v>
      </c>
      <c r="G32" s="40">
        <v>350000</v>
      </c>
    </row>
    <row r="33" spans="1:8" ht="13.8" x14ac:dyDescent="0.3">
      <c r="A33" s="22" t="s">
        <v>76</v>
      </c>
      <c r="B33" s="21">
        <v>21</v>
      </c>
      <c r="C33" s="21" t="s">
        <v>75</v>
      </c>
      <c r="D33" s="21" t="s">
        <v>74</v>
      </c>
      <c r="E33" s="21" t="s">
        <v>66</v>
      </c>
      <c r="F33" s="21">
        <v>1</v>
      </c>
      <c r="G33" s="40">
        <v>250000</v>
      </c>
    </row>
    <row r="34" spans="1:8" ht="13.8" x14ac:dyDescent="0.3">
      <c r="A34" s="22" t="s">
        <v>73</v>
      </c>
      <c r="B34" s="21">
        <v>52</v>
      </c>
      <c r="C34" s="21" t="s">
        <v>72</v>
      </c>
      <c r="D34" s="21" t="s">
        <v>71</v>
      </c>
      <c r="E34" s="21" t="s">
        <v>70</v>
      </c>
      <c r="F34" s="21">
        <v>3</v>
      </c>
      <c r="G34" s="40">
        <v>180000</v>
      </c>
    </row>
    <row r="35" spans="1:8" ht="13.8" x14ac:dyDescent="0.3">
      <c r="A35" s="22" t="s">
        <v>69</v>
      </c>
      <c r="B35" s="21">
        <v>38</v>
      </c>
      <c r="C35" s="21" t="s">
        <v>68</v>
      </c>
      <c r="D35" s="21" t="s">
        <v>67</v>
      </c>
      <c r="E35" s="21" t="s">
        <v>66</v>
      </c>
      <c r="F35" s="21">
        <v>1</v>
      </c>
      <c r="G35" s="40">
        <v>350000</v>
      </c>
    </row>
    <row r="36" spans="1:8" x14ac:dyDescent="0.25">
      <c r="B36" s="19"/>
      <c r="C36" s="20"/>
      <c r="D36" s="19"/>
      <c r="E36" s="20"/>
      <c r="F36" s="19"/>
      <c r="G36" s="20"/>
      <c r="H36" s="19"/>
    </row>
    <row r="37" spans="1:8" x14ac:dyDescent="0.25">
      <c r="B37" s="19"/>
      <c r="C37" s="20"/>
      <c r="D37" s="19"/>
      <c r="E37" s="20"/>
      <c r="F37" s="19"/>
      <c r="G37" s="20"/>
      <c r="H37" s="19"/>
    </row>
  </sheetData>
  <conditionalFormatting sqref="C16:C35">
    <cfRule type="containsText" dxfId="26" priority="2" operator="containsText" text="SANTIAGO">
      <formula>NOT(ISERROR(SEARCH("SANTIAGO",C16)))</formula>
    </cfRule>
  </conditionalFormatting>
  <conditionalFormatting sqref="F16:F35">
    <cfRule type="cellIs" dxfId="25" priority="1" operator="greaterThan">
      <formula>1</formula>
    </cfRule>
  </conditionalFormatting>
  <printOptions headings="1" gridLinesSet="0"/>
  <pageMargins left="0.39370078740157483" right="0.75" top="0.98425196850393704" bottom="1" header="0.51181102362204722" footer="0.51181102362204722"/>
  <pageSetup orientation="landscape" horizontalDpi="300" verticalDpi="300" r:id="rId1"/>
  <headerFooter alignWithMargins="0">
    <oddHeader>&amp;A</oddHeader>
    <oddFooter>Página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96483-DC91-4AA0-9657-C29E3423D010}">
  <sheetPr codeName="Hoja8"/>
  <dimension ref="A8:L91"/>
  <sheetViews>
    <sheetView showGridLines="0" topLeftCell="A5" zoomScale="115" zoomScaleNormal="115" workbookViewId="0">
      <selection activeCell="B14" sqref="B14"/>
    </sheetView>
  </sheetViews>
  <sheetFormatPr baseColWidth="10" defaultColWidth="11.44140625" defaultRowHeight="15" x14ac:dyDescent="0.25"/>
  <cols>
    <col min="1" max="1" width="11.44140625" style="29"/>
    <col min="2" max="2" width="46.88671875" style="29" bestFit="1" customWidth="1"/>
    <col min="3" max="3" width="46" style="29" bestFit="1" customWidth="1"/>
    <col min="4" max="4" width="19.6640625" style="29" bestFit="1" customWidth="1"/>
    <col min="5" max="5" width="16.109375" style="29" customWidth="1"/>
    <col min="6" max="6" width="16.109375" style="74" customWidth="1"/>
    <col min="7" max="7" width="18.88671875" style="29" customWidth="1"/>
    <col min="8" max="8" width="15.33203125" style="74" customWidth="1"/>
    <col min="9" max="9" width="16.109375" style="74" customWidth="1"/>
    <col min="10" max="11" width="11.44140625" style="29"/>
    <col min="12" max="12" width="11.44140625" style="29" customWidth="1"/>
    <col min="13" max="16384" width="11.44140625" style="29"/>
  </cols>
  <sheetData>
    <row r="8" spans="1:12" ht="15.6" x14ac:dyDescent="0.3">
      <c r="A8"/>
    </row>
    <row r="9" spans="1:12" ht="15.6" x14ac:dyDescent="0.3">
      <c r="A9"/>
      <c r="B9" s="32">
        <v>4</v>
      </c>
    </row>
    <row r="10" spans="1:12" ht="15.6" x14ac:dyDescent="0.3">
      <c r="A10"/>
    </row>
    <row r="11" spans="1:12" ht="15.6" x14ac:dyDescent="0.3">
      <c r="A11"/>
    </row>
    <row r="12" spans="1:12" ht="15.6" x14ac:dyDescent="0.3">
      <c r="A12"/>
    </row>
    <row r="13" spans="1:12" x14ac:dyDescent="0.25">
      <c r="A13" s="1"/>
    </row>
    <row r="14" spans="1:12" ht="15.6" x14ac:dyDescent="0.3">
      <c r="A14" s="104" t="s">
        <v>339</v>
      </c>
      <c r="B14" s="105" t="s">
        <v>469</v>
      </c>
      <c r="C14" s="105" t="s">
        <v>468</v>
      </c>
      <c r="D14" s="105" t="s">
        <v>467</v>
      </c>
      <c r="E14" s="105" t="s">
        <v>466</v>
      </c>
      <c r="F14" s="106" t="s">
        <v>465</v>
      </c>
      <c r="G14" s="105" t="s">
        <v>464</v>
      </c>
      <c r="H14" s="106" t="s">
        <v>463</v>
      </c>
      <c r="I14" s="107" t="s">
        <v>462</v>
      </c>
      <c r="K14" s="31" t="s">
        <v>461</v>
      </c>
      <c r="L14" s="30">
        <v>540</v>
      </c>
    </row>
    <row r="15" spans="1:12" ht="15.6" hidden="1" x14ac:dyDescent="0.3">
      <c r="A15" s="102">
        <v>1</v>
      </c>
      <c r="B15" s="42" t="s">
        <v>460</v>
      </c>
      <c r="C15" s="42" t="s">
        <v>457</v>
      </c>
      <c r="D15" s="42" t="s">
        <v>345</v>
      </c>
      <c r="E15" s="42" t="s">
        <v>374</v>
      </c>
      <c r="F15" s="76">
        <v>1001</v>
      </c>
      <c r="G15" s="43">
        <v>5.23</v>
      </c>
      <c r="H15" s="75">
        <f t="shared" ref="H15:H46" si="0">G15*$L$14</f>
        <v>2824.2000000000003</v>
      </c>
      <c r="I15" s="103">
        <f>F15*H15</f>
        <v>2827024.2</v>
      </c>
    </row>
    <row r="16" spans="1:12" ht="15.6" hidden="1" x14ac:dyDescent="0.3">
      <c r="A16" s="102">
        <v>2</v>
      </c>
      <c r="B16" s="42" t="s">
        <v>459</v>
      </c>
      <c r="C16" s="42" t="s">
        <v>457</v>
      </c>
      <c r="D16" s="42" t="s">
        <v>345</v>
      </c>
      <c r="E16" s="42" t="s">
        <v>340</v>
      </c>
      <c r="F16" s="76">
        <v>1500</v>
      </c>
      <c r="G16" s="43">
        <v>5.12</v>
      </c>
      <c r="H16" s="75">
        <f t="shared" si="0"/>
        <v>2764.8</v>
      </c>
      <c r="I16" s="103">
        <f t="shared" ref="I16:I46" si="1">F16*H16</f>
        <v>4147200.0000000005</v>
      </c>
    </row>
    <row r="17" spans="1:9" ht="15.6" hidden="1" x14ac:dyDescent="0.3">
      <c r="A17" s="102">
        <v>3</v>
      </c>
      <c r="B17" s="42" t="s">
        <v>458</v>
      </c>
      <c r="C17" s="42" t="s">
        <v>457</v>
      </c>
      <c r="D17" s="42" t="s">
        <v>341</v>
      </c>
      <c r="E17" s="42" t="s">
        <v>349</v>
      </c>
      <c r="F17" s="76">
        <v>1999</v>
      </c>
      <c r="G17" s="43">
        <v>3.58</v>
      </c>
      <c r="H17" s="75">
        <f t="shared" si="0"/>
        <v>1933.2</v>
      </c>
      <c r="I17" s="103">
        <f t="shared" si="1"/>
        <v>3864466.8000000003</v>
      </c>
    </row>
    <row r="18" spans="1:9" ht="15.6" hidden="1" x14ac:dyDescent="0.3">
      <c r="A18" s="102">
        <v>4</v>
      </c>
      <c r="B18" s="42" t="s">
        <v>456</v>
      </c>
      <c r="C18" s="42" t="s">
        <v>371</v>
      </c>
      <c r="D18" s="42" t="s">
        <v>341</v>
      </c>
      <c r="E18" s="42" t="s">
        <v>353</v>
      </c>
      <c r="F18" s="76">
        <v>2500</v>
      </c>
      <c r="G18" s="43">
        <v>2.15</v>
      </c>
      <c r="H18" s="75">
        <f t="shared" si="0"/>
        <v>1161</v>
      </c>
      <c r="I18" s="103">
        <f t="shared" si="1"/>
        <v>2902500</v>
      </c>
    </row>
    <row r="19" spans="1:9" ht="15.6" hidden="1" x14ac:dyDescent="0.3">
      <c r="A19" s="102">
        <v>5</v>
      </c>
      <c r="B19" s="42" t="s">
        <v>455</v>
      </c>
      <c r="C19" s="42" t="s">
        <v>371</v>
      </c>
      <c r="D19" s="42" t="s">
        <v>341</v>
      </c>
      <c r="E19" s="42" t="s">
        <v>340</v>
      </c>
      <c r="F19" s="76">
        <v>3000</v>
      </c>
      <c r="G19" s="43">
        <v>1.96</v>
      </c>
      <c r="H19" s="75">
        <f t="shared" si="0"/>
        <v>1058.4000000000001</v>
      </c>
      <c r="I19" s="103">
        <f t="shared" si="1"/>
        <v>3175200.0000000005</v>
      </c>
    </row>
    <row r="20" spans="1:9" ht="15.6" hidden="1" x14ac:dyDescent="0.3">
      <c r="A20" s="102">
        <v>6</v>
      </c>
      <c r="B20" s="42" t="s">
        <v>454</v>
      </c>
      <c r="C20" s="42" t="s">
        <v>451</v>
      </c>
      <c r="D20" s="42" t="s">
        <v>341</v>
      </c>
      <c r="E20" s="42" t="s">
        <v>349</v>
      </c>
      <c r="F20" s="76">
        <v>3500</v>
      </c>
      <c r="G20" s="43">
        <v>2.5</v>
      </c>
      <c r="H20" s="75">
        <f t="shared" si="0"/>
        <v>1350</v>
      </c>
      <c r="I20" s="103">
        <f t="shared" si="1"/>
        <v>4725000</v>
      </c>
    </row>
    <row r="21" spans="1:9" ht="15.6" hidden="1" x14ac:dyDescent="0.3">
      <c r="A21" s="102">
        <v>7</v>
      </c>
      <c r="B21" s="42" t="s">
        <v>453</v>
      </c>
      <c r="C21" s="42" t="s">
        <v>451</v>
      </c>
      <c r="D21" s="42" t="s">
        <v>350</v>
      </c>
      <c r="E21" s="42" t="s">
        <v>416</v>
      </c>
      <c r="F21" s="76">
        <v>4000</v>
      </c>
      <c r="G21" s="43">
        <v>3.38</v>
      </c>
      <c r="H21" s="75">
        <f t="shared" si="0"/>
        <v>1825.2</v>
      </c>
      <c r="I21" s="103">
        <f t="shared" si="1"/>
        <v>7300800</v>
      </c>
    </row>
    <row r="22" spans="1:9" ht="15.6" hidden="1" x14ac:dyDescent="0.3">
      <c r="A22" s="102">
        <v>8</v>
      </c>
      <c r="B22" s="42" t="s">
        <v>452</v>
      </c>
      <c r="C22" s="42" t="s">
        <v>451</v>
      </c>
      <c r="D22" s="42" t="s">
        <v>341</v>
      </c>
      <c r="E22" s="42" t="s">
        <v>344</v>
      </c>
      <c r="F22" s="76">
        <v>4500</v>
      </c>
      <c r="G22" s="43">
        <v>6.75</v>
      </c>
      <c r="H22" s="75">
        <f t="shared" si="0"/>
        <v>3645</v>
      </c>
      <c r="I22" s="103">
        <f t="shared" si="1"/>
        <v>16402500</v>
      </c>
    </row>
    <row r="23" spans="1:9" ht="15.6" hidden="1" x14ac:dyDescent="0.3">
      <c r="A23" s="102">
        <v>9</v>
      </c>
      <c r="B23" s="42" t="s">
        <v>450</v>
      </c>
      <c r="C23" s="42" t="s">
        <v>351</v>
      </c>
      <c r="D23" s="42" t="s">
        <v>389</v>
      </c>
      <c r="E23" s="42" t="s">
        <v>416</v>
      </c>
      <c r="F23" s="76">
        <v>5000</v>
      </c>
      <c r="G23" s="43">
        <v>2.83</v>
      </c>
      <c r="H23" s="75">
        <f t="shared" si="0"/>
        <v>1528.2</v>
      </c>
      <c r="I23" s="103">
        <f t="shared" si="1"/>
        <v>7641000</v>
      </c>
    </row>
    <row r="24" spans="1:9" ht="15.6" hidden="1" x14ac:dyDescent="0.3">
      <c r="A24" s="102">
        <v>10</v>
      </c>
      <c r="B24" s="42" t="s">
        <v>449</v>
      </c>
      <c r="C24" s="42" t="s">
        <v>351</v>
      </c>
      <c r="D24" s="42" t="s">
        <v>354</v>
      </c>
      <c r="E24" s="42" t="s">
        <v>340</v>
      </c>
      <c r="F24" s="76">
        <v>3000</v>
      </c>
      <c r="G24" s="43">
        <v>0.69</v>
      </c>
      <c r="H24" s="75">
        <f t="shared" si="0"/>
        <v>372.59999999999997</v>
      </c>
      <c r="I24" s="103">
        <f t="shared" si="1"/>
        <v>1117800</v>
      </c>
    </row>
    <row r="25" spans="1:9" ht="15.6" hidden="1" x14ac:dyDescent="0.3">
      <c r="A25" s="102">
        <v>11</v>
      </c>
      <c r="B25" s="42" t="s">
        <v>448</v>
      </c>
      <c r="C25" s="42" t="s">
        <v>446</v>
      </c>
      <c r="D25" s="42" t="s">
        <v>358</v>
      </c>
      <c r="E25" s="42" t="s">
        <v>353</v>
      </c>
      <c r="F25" s="76">
        <v>3500</v>
      </c>
      <c r="G25" s="43">
        <v>4.8</v>
      </c>
      <c r="H25" s="75">
        <f t="shared" si="0"/>
        <v>2592</v>
      </c>
      <c r="I25" s="103">
        <f t="shared" si="1"/>
        <v>9072000</v>
      </c>
    </row>
    <row r="26" spans="1:9" ht="15.6" hidden="1" x14ac:dyDescent="0.3">
      <c r="A26" s="102">
        <v>12</v>
      </c>
      <c r="B26" s="42" t="s">
        <v>447</v>
      </c>
      <c r="C26" s="42" t="s">
        <v>446</v>
      </c>
      <c r="D26" s="42" t="s">
        <v>358</v>
      </c>
      <c r="E26" s="42" t="s">
        <v>416</v>
      </c>
      <c r="F26" s="76">
        <v>4408</v>
      </c>
      <c r="G26" s="43">
        <v>3.69</v>
      </c>
      <c r="H26" s="75">
        <f t="shared" si="0"/>
        <v>1992.6</v>
      </c>
      <c r="I26" s="103">
        <f t="shared" si="1"/>
        <v>8783380.7999999989</v>
      </c>
    </row>
    <row r="27" spans="1:9" ht="15.6" hidden="1" x14ac:dyDescent="0.3">
      <c r="A27" s="102">
        <v>13</v>
      </c>
      <c r="B27" s="42" t="s">
        <v>445</v>
      </c>
      <c r="C27" s="42" t="s">
        <v>442</v>
      </c>
      <c r="D27" s="42" t="s">
        <v>354</v>
      </c>
      <c r="E27" s="42" t="s">
        <v>374</v>
      </c>
      <c r="F27" s="76">
        <v>4474</v>
      </c>
      <c r="G27" s="43">
        <v>3.23</v>
      </c>
      <c r="H27" s="75">
        <f t="shared" si="0"/>
        <v>1744.2</v>
      </c>
      <c r="I27" s="103">
        <f t="shared" si="1"/>
        <v>7803550.7999999998</v>
      </c>
    </row>
    <row r="28" spans="1:9" ht="15.6" hidden="1" x14ac:dyDescent="0.3">
      <c r="A28" s="102">
        <v>14</v>
      </c>
      <c r="B28" s="42" t="s">
        <v>444</v>
      </c>
      <c r="C28" s="42" t="s">
        <v>442</v>
      </c>
      <c r="D28" s="42" t="s">
        <v>350</v>
      </c>
      <c r="E28" s="42" t="s">
        <v>357</v>
      </c>
      <c r="F28" s="76">
        <v>4540</v>
      </c>
      <c r="G28" s="43">
        <v>1.1499999999999999</v>
      </c>
      <c r="H28" s="75">
        <f t="shared" si="0"/>
        <v>621</v>
      </c>
      <c r="I28" s="103">
        <f t="shared" si="1"/>
        <v>2819340</v>
      </c>
    </row>
    <row r="29" spans="1:9" ht="15.6" hidden="1" x14ac:dyDescent="0.3">
      <c r="A29" s="102">
        <v>15</v>
      </c>
      <c r="B29" s="42" t="s">
        <v>443</v>
      </c>
      <c r="C29" s="42" t="s">
        <v>442</v>
      </c>
      <c r="D29" s="42" t="s">
        <v>341</v>
      </c>
      <c r="E29" s="42" t="s">
        <v>349</v>
      </c>
      <c r="F29" s="76">
        <v>4606</v>
      </c>
      <c r="G29" s="43">
        <v>6</v>
      </c>
      <c r="H29" s="75">
        <f t="shared" si="0"/>
        <v>3240</v>
      </c>
      <c r="I29" s="103">
        <f t="shared" si="1"/>
        <v>14923440</v>
      </c>
    </row>
    <row r="30" spans="1:9" ht="15.6" hidden="1" x14ac:dyDescent="0.3">
      <c r="A30" s="102">
        <v>16</v>
      </c>
      <c r="B30" s="42" t="s">
        <v>441</v>
      </c>
      <c r="C30" s="42" t="s">
        <v>363</v>
      </c>
      <c r="D30" s="42" t="s">
        <v>366</v>
      </c>
      <c r="E30" s="42" t="s">
        <v>353</v>
      </c>
      <c r="F30" s="76">
        <v>4672</v>
      </c>
      <c r="G30" s="43">
        <v>7.58</v>
      </c>
      <c r="H30" s="75">
        <f t="shared" si="0"/>
        <v>4093.2</v>
      </c>
      <c r="I30" s="103">
        <f t="shared" si="1"/>
        <v>19123430.399999999</v>
      </c>
    </row>
    <row r="31" spans="1:9" ht="15.6" hidden="1" x14ac:dyDescent="0.3">
      <c r="A31" s="102">
        <v>17</v>
      </c>
      <c r="B31" s="42" t="s">
        <v>440</v>
      </c>
      <c r="C31" s="42" t="s">
        <v>363</v>
      </c>
      <c r="D31" s="42" t="s">
        <v>389</v>
      </c>
      <c r="E31" s="42" t="s">
        <v>416</v>
      </c>
      <c r="F31" s="76">
        <v>3000</v>
      </c>
      <c r="G31" s="43">
        <v>2.31</v>
      </c>
      <c r="H31" s="75">
        <f t="shared" si="0"/>
        <v>1247.4000000000001</v>
      </c>
      <c r="I31" s="103">
        <f t="shared" si="1"/>
        <v>3742200.0000000005</v>
      </c>
    </row>
    <row r="32" spans="1:9" ht="15.6" hidden="1" x14ac:dyDescent="0.3">
      <c r="A32" s="102">
        <v>18</v>
      </c>
      <c r="B32" s="42" t="s">
        <v>439</v>
      </c>
      <c r="C32" s="42" t="s">
        <v>363</v>
      </c>
      <c r="D32" s="42" t="s">
        <v>354</v>
      </c>
      <c r="E32" s="42" t="s">
        <v>416</v>
      </c>
      <c r="F32" s="76">
        <v>3500</v>
      </c>
      <c r="G32" s="43">
        <v>3</v>
      </c>
      <c r="H32" s="75">
        <f t="shared" si="0"/>
        <v>1620</v>
      </c>
      <c r="I32" s="103">
        <f t="shared" si="1"/>
        <v>5670000</v>
      </c>
    </row>
    <row r="33" spans="1:9" ht="15.6" hidden="1" x14ac:dyDescent="0.3">
      <c r="A33" s="102">
        <v>19</v>
      </c>
      <c r="B33" s="42" t="s">
        <v>438</v>
      </c>
      <c r="C33" s="42" t="s">
        <v>367</v>
      </c>
      <c r="D33" s="42" t="s">
        <v>366</v>
      </c>
      <c r="E33" s="42" t="s">
        <v>357</v>
      </c>
      <c r="F33" s="76">
        <v>1504</v>
      </c>
      <c r="G33" s="43">
        <v>2.15</v>
      </c>
      <c r="H33" s="75">
        <f t="shared" si="0"/>
        <v>1161</v>
      </c>
      <c r="I33" s="103">
        <f t="shared" si="1"/>
        <v>1746144</v>
      </c>
    </row>
    <row r="34" spans="1:9" ht="15.6" hidden="1" x14ac:dyDescent="0.3">
      <c r="A34" s="102">
        <v>20</v>
      </c>
      <c r="B34" s="42" t="s">
        <v>437</v>
      </c>
      <c r="C34" s="42" t="s">
        <v>367</v>
      </c>
      <c r="D34" s="42" t="s">
        <v>366</v>
      </c>
      <c r="E34" s="42" t="s">
        <v>374</v>
      </c>
      <c r="F34" s="76">
        <v>1570</v>
      </c>
      <c r="G34" s="43">
        <v>4.38</v>
      </c>
      <c r="H34" s="75">
        <f t="shared" si="0"/>
        <v>2365.1999999999998</v>
      </c>
      <c r="I34" s="103">
        <f t="shared" si="1"/>
        <v>3713363.9999999995</v>
      </c>
    </row>
    <row r="35" spans="1:9" ht="15.6" hidden="1" x14ac:dyDescent="0.3">
      <c r="A35" s="102">
        <v>21</v>
      </c>
      <c r="B35" s="42" t="s">
        <v>436</v>
      </c>
      <c r="C35" s="42" t="s">
        <v>367</v>
      </c>
      <c r="D35" s="42" t="s">
        <v>366</v>
      </c>
      <c r="E35" s="42" t="s">
        <v>344</v>
      </c>
      <c r="F35" s="76">
        <v>1636</v>
      </c>
      <c r="G35" s="43">
        <v>4</v>
      </c>
      <c r="H35" s="75">
        <f t="shared" si="0"/>
        <v>2160</v>
      </c>
      <c r="I35" s="103">
        <f t="shared" si="1"/>
        <v>3533760</v>
      </c>
    </row>
    <row r="36" spans="1:9" ht="15.6" hidden="1" x14ac:dyDescent="0.3">
      <c r="A36" s="102">
        <v>22</v>
      </c>
      <c r="B36" s="42" t="s">
        <v>435</v>
      </c>
      <c r="C36" s="42" t="s">
        <v>433</v>
      </c>
      <c r="D36" s="42" t="s">
        <v>375</v>
      </c>
      <c r="E36" s="42" t="s">
        <v>340</v>
      </c>
      <c r="F36" s="76">
        <v>1702</v>
      </c>
      <c r="G36" s="43">
        <v>2.77</v>
      </c>
      <c r="H36" s="75">
        <f t="shared" si="0"/>
        <v>1495.8</v>
      </c>
      <c r="I36" s="103">
        <f t="shared" si="1"/>
        <v>2545851.6</v>
      </c>
    </row>
    <row r="37" spans="1:9" ht="15.6" hidden="1" x14ac:dyDescent="0.3">
      <c r="A37" s="102">
        <v>23</v>
      </c>
      <c r="B37" s="42" t="s">
        <v>434</v>
      </c>
      <c r="C37" s="42" t="s">
        <v>433</v>
      </c>
      <c r="D37" s="42" t="s">
        <v>375</v>
      </c>
      <c r="E37" s="42" t="s">
        <v>416</v>
      </c>
      <c r="F37" s="76">
        <v>1768</v>
      </c>
      <c r="G37" s="43">
        <v>2.77</v>
      </c>
      <c r="H37" s="75">
        <f t="shared" si="0"/>
        <v>1495.8</v>
      </c>
      <c r="I37" s="103">
        <f t="shared" si="1"/>
        <v>2644574.4</v>
      </c>
    </row>
    <row r="38" spans="1:9" ht="15.6" hidden="1" x14ac:dyDescent="0.3">
      <c r="A38" s="102">
        <v>24</v>
      </c>
      <c r="B38" s="42" t="s">
        <v>432</v>
      </c>
      <c r="C38" s="42" t="s">
        <v>431</v>
      </c>
      <c r="D38" s="42" t="s">
        <v>345</v>
      </c>
      <c r="E38" s="42" t="s">
        <v>344</v>
      </c>
      <c r="F38" s="76">
        <v>1834</v>
      </c>
      <c r="G38" s="43">
        <v>7.08</v>
      </c>
      <c r="H38" s="75">
        <f t="shared" si="0"/>
        <v>3823.2</v>
      </c>
      <c r="I38" s="103">
        <f t="shared" si="1"/>
        <v>7011748.7999999998</v>
      </c>
    </row>
    <row r="39" spans="1:9" ht="15.6" hidden="1" x14ac:dyDescent="0.3">
      <c r="A39" s="102">
        <v>25</v>
      </c>
      <c r="B39" s="42" t="s">
        <v>430</v>
      </c>
      <c r="C39" s="42" t="s">
        <v>427</v>
      </c>
      <c r="D39" s="42" t="s">
        <v>366</v>
      </c>
      <c r="E39" s="42" t="s">
        <v>340</v>
      </c>
      <c r="F39" s="76">
        <v>1900</v>
      </c>
      <c r="G39" s="43">
        <v>2</v>
      </c>
      <c r="H39" s="75">
        <f t="shared" si="0"/>
        <v>1080</v>
      </c>
      <c r="I39" s="103">
        <f t="shared" si="1"/>
        <v>2052000</v>
      </c>
    </row>
    <row r="40" spans="1:9" ht="15.6" hidden="1" x14ac:dyDescent="0.3">
      <c r="A40" s="102">
        <v>26</v>
      </c>
      <c r="B40" s="42" t="s">
        <v>429</v>
      </c>
      <c r="C40" s="42" t="s">
        <v>427</v>
      </c>
      <c r="D40" s="42" t="s">
        <v>366</v>
      </c>
      <c r="E40" s="42" t="s">
        <v>357</v>
      </c>
      <c r="F40" s="76">
        <v>1966</v>
      </c>
      <c r="G40" s="43">
        <v>1.54</v>
      </c>
      <c r="H40" s="75">
        <f t="shared" si="0"/>
        <v>831.6</v>
      </c>
      <c r="I40" s="103">
        <f t="shared" si="1"/>
        <v>1634925.6</v>
      </c>
    </row>
    <row r="41" spans="1:9" ht="15.6" hidden="1" x14ac:dyDescent="0.3">
      <c r="A41" s="102">
        <v>27</v>
      </c>
      <c r="B41" s="42" t="s">
        <v>428</v>
      </c>
      <c r="C41" s="42" t="s">
        <v>427</v>
      </c>
      <c r="D41" s="42" t="s">
        <v>366</v>
      </c>
      <c r="E41" s="42" t="s">
        <v>340</v>
      </c>
      <c r="F41" s="76">
        <v>2032</v>
      </c>
      <c r="G41" s="43">
        <v>2.38</v>
      </c>
      <c r="H41" s="75">
        <f t="shared" si="0"/>
        <v>1285.2</v>
      </c>
      <c r="I41" s="103">
        <f t="shared" si="1"/>
        <v>2611526.4</v>
      </c>
    </row>
    <row r="42" spans="1:9" ht="15.6" hidden="1" x14ac:dyDescent="0.3">
      <c r="A42" s="102">
        <v>28</v>
      </c>
      <c r="B42" s="42" t="s">
        <v>426</v>
      </c>
      <c r="C42" s="42" t="s">
        <v>342</v>
      </c>
      <c r="D42" s="42" t="s">
        <v>350</v>
      </c>
      <c r="E42" s="42" t="s">
        <v>416</v>
      </c>
      <c r="F42" s="76">
        <v>2098</v>
      </c>
      <c r="G42" s="43">
        <v>5.05</v>
      </c>
      <c r="H42" s="75">
        <f t="shared" si="0"/>
        <v>2727</v>
      </c>
      <c r="I42" s="103">
        <f t="shared" si="1"/>
        <v>5721246</v>
      </c>
    </row>
    <row r="43" spans="1:9" ht="15.6" hidden="1" x14ac:dyDescent="0.3">
      <c r="A43" s="102">
        <v>29</v>
      </c>
      <c r="B43" s="42" t="s">
        <v>425</v>
      </c>
      <c r="C43" s="42" t="s">
        <v>342</v>
      </c>
      <c r="D43" s="42" t="s">
        <v>389</v>
      </c>
      <c r="E43" s="42" t="s">
        <v>357</v>
      </c>
      <c r="F43" s="76">
        <v>2164</v>
      </c>
      <c r="G43" s="43">
        <v>2.77</v>
      </c>
      <c r="H43" s="75">
        <f t="shared" si="0"/>
        <v>1495.8</v>
      </c>
      <c r="I43" s="103">
        <f t="shared" si="1"/>
        <v>3236911.1999999997</v>
      </c>
    </row>
    <row r="44" spans="1:9" ht="15.6" hidden="1" x14ac:dyDescent="0.3">
      <c r="A44" s="102">
        <v>30</v>
      </c>
      <c r="B44" s="42" t="s">
        <v>424</v>
      </c>
      <c r="C44" s="42" t="s">
        <v>423</v>
      </c>
      <c r="D44" s="42" t="s">
        <v>354</v>
      </c>
      <c r="E44" s="42" t="s">
        <v>374</v>
      </c>
      <c r="F44" s="76">
        <v>2230</v>
      </c>
      <c r="G44" s="43">
        <v>1.54</v>
      </c>
      <c r="H44" s="75">
        <f t="shared" si="0"/>
        <v>831.6</v>
      </c>
      <c r="I44" s="103">
        <f t="shared" si="1"/>
        <v>1854468</v>
      </c>
    </row>
    <row r="45" spans="1:9" ht="15.6" hidden="1" x14ac:dyDescent="0.3">
      <c r="A45" s="102">
        <v>31</v>
      </c>
      <c r="B45" s="42" t="s">
        <v>422</v>
      </c>
      <c r="C45" s="42" t="s">
        <v>359</v>
      </c>
      <c r="D45" s="42" t="s">
        <v>358</v>
      </c>
      <c r="E45" s="42" t="s">
        <v>416</v>
      </c>
      <c r="F45" s="76">
        <v>2296</v>
      </c>
      <c r="G45" s="43">
        <v>1.38</v>
      </c>
      <c r="H45" s="75">
        <f t="shared" si="0"/>
        <v>745.19999999999993</v>
      </c>
      <c r="I45" s="103">
        <f t="shared" si="1"/>
        <v>1710979.2</v>
      </c>
    </row>
    <row r="46" spans="1:9" ht="15.6" hidden="1" x14ac:dyDescent="0.3">
      <c r="A46" s="102">
        <v>32</v>
      </c>
      <c r="B46" s="42" t="s">
        <v>421</v>
      </c>
      <c r="C46" s="42" t="s">
        <v>359</v>
      </c>
      <c r="D46" s="42" t="s">
        <v>358</v>
      </c>
      <c r="E46" s="42" t="s">
        <v>374</v>
      </c>
      <c r="F46" s="76">
        <v>2362</v>
      </c>
      <c r="G46" s="43">
        <v>4.62</v>
      </c>
      <c r="H46" s="75">
        <f t="shared" si="0"/>
        <v>2494.8000000000002</v>
      </c>
      <c r="I46" s="103">
        <f t="shared" si="1"/>
        <v>5892717.6000000006</v>
      </c>
    </row>
    <row r="47" spans="1:9" ht="15.6" hidden="1" x14ac:dyDescent="0.3">
      <c r="A47" s="102">
        <v>33</v>
      </c>
      <c r="B47" s="42" t="s">
        <v>420</v>
      </c>
      <c r="C47" s="42" t="s">
        <v>361</v>
      </c>
      <c r="D47" s="42" t="s">
        <v>358</v>
      </c>
      <c r="E47" s="42" t="s">
        <v>340</v>
      </c>
      <c r="F47" s="76">
        <v>2428</v>
      </c>
      <c r="G47" s="43">
        <v>3.23</v>
      </c>
      <c r="H47" s="75">
        <f t="shared" ref="H47:H78" si="2">G47*$L$14</f>
        <v>1744.2</v>
      </c>
      <c r="I47" s="103">
        <f t="shared" ref="I47:I78" si="3">F47*H47</f>
        <v>4234917.6000000006</v>
      </c>
    </row>
    <row r="48" spans="1:9" ht="15.6" x14ac:dyDescent="0.3">
      <c r="A48" s="102">
        <v>34</v>
      </c>
      <c r="B48" s="42" t="s">
        <v>419</v>
      </c>
      <c r="C48" s="42" t="s">
        <v>369</v>
      </c>
      <c r="D48" s="42" t="s">
        <v>345</v>
      </c>
      <c r="E48" s="42" t="s">
        <v>340</v>
      </c>
      <c r="F48" s="76">
        <v>2494</v>
      </c>
      <c r="G48" s="43">
        <v>1.92</v>
      </c>
      <c r="H48" s="75">
        <f t="shared" si="2"/>
        <v>1036.8</v>
      </c>
      <c r="I48" s="103">
        <f t="shared" si="3"/>
        <v>2585779.1999999997</v>
      </c>
    </row>
    <row r="49" spans="1:9" ht="15.6" x14ac:dyDescent="0.3">
      <c r="A49" s="102">
        <v>35</v>
      </c>
      <c r="B49" s="42" t="s">
        <v>418</v>
      </c>
      <c r="C49" s="42" t="s">
        <v>369</v>
      </c>
      <c r="D49" s="42" t="s">
        <v>345</v>
      </c>
      <c r="E49" s="42" t="s">
        <v>340</v>
      </c>
      <c r="F49" s="76">
        <v>3000</v>
      </c>
      <c r="G49" s="43">
        <v>1.85</v>
      </c>
      <c r="H49" s="75">
        <f t="shared" si="2"/>
        <v>999</v>
      </c>
      <c r="I49" s="103">
        <f t="shared" si="3"/>
        <v>2997000</v>
      </c>
    </row>
    <row r="50" spans="1:9" ht="15.6" hidden="1" x14ac:dyDescent="0.3">
      <c r="A50" s="102">
        <v>36</v>
      </c>
      <c r="B50" s="42" t="s">
        <v>417</v>
      </c>
      <c r="C50" s="42" t="s">
        <v>355</v>
      </c>
      <c r="D50" s="42" t="s">
        <v>354</v>
      </c>
      <c r="E50" s="42" t="s">
        <v>416</v>
      </c>
      <c r="F50" s="76">
        <v>3500</v>
      </c>
      <c r="G50" s="43">
        <v>8.4600000000000009</v>
      </c>
      <c r="H50" s="75">
        <f t="shared" si="2"/>
        <v>4568.4000000000005</v>
      </c>
      <c r="I50" s="103">
        <f t="shared" si="3"/>
        <v>15989400.000000002</v>
      </c>
    </row>
    <row r="51" spans="1:9" ht="15.6" hidden="1" x14ac:dyDescent="0.3">
      <c r="A51" s="102">
        <v>37</v>
      </c>
      <c r="B51" s="42" t="s">
        <v>415</v>
      </c>
      <c r="C51" s="42" t="s">
        <v>355</v>
      </c>
      <c r="D51" s="42" t="s">
        <v>354</v>
      </c>
      <c r="E51" s="42" t="s">
        <v>340</v>
      </c>
      <c r="F51" s="76">
        <v>2692</v>
      </c>
      <c r="G51" s="43">
        <v>3.08</v>
      </c>
      <c r="H51" s="75">
        <f t="shared" si="2"/>
        <v>1663.2</v>
      </c>
      <c r="I51" s="103">
        <f t="shared" si="3"/>
        <v>4477334.4000000004</v>
      </c>
    </row>
    <row r="52" spans="1:9" ht="15.6" hidden="1" x14ac:dyDescent="0.3">
      <c r="A52" s="102">
        <v>38</v>
      </c>
      <c r="B52" s="42" t="s">
        <v>414</v>
      </c>
      <c r="C52" s="42" t="s">
        <v>412</v>
      </c>
      <c r="D52" s="42" t="s">
        <v>345</v>
      </c>
      <c r="E52" s="42" t="s">
        <v>374</v>
      </c>
      <c r="F52" s="76">
        <v>2758</v>
      </c>
      <c r="G52" s="43">
        <v>2.04</v>
      </c>
      <c r="H52" s="75">
        <f t="shared" si="2"/>
        <v>1101.5999999999999</v>
      </c>
      <c r="I52" s="103">
        <f t="shared" si="3"/>
        <v>3038212.8</v>
      </c>
    </row>
    <row r="53" spans="1:9" ht="15.6" hidden="1" x14ac:dyDescent="0.3">
      <c r="A53" s="102">
        <v>39</v>
      </c>
      <c r="B53" s="42" t="s">
        <v>413</v>
      </c>
      <c r="C53" s="42" t="s">
        <v>412</v>
      </c>
      <c r="D53" s="42" t="s">
        <v>345</v>
      </c>
      <c r="E53" s="42" t="s">
        <v>344</v>
      </c>
      <c r="F53" s="76">
        <v>2824</v>
      </c>
      <c r="G53" s="43">
        <v>14.92</v>
      </c>
      <c r="H53" s="75">
        <f t="shared" si="2"/>
        <v>8056.8</v>
      </c>
      <c r="I53" s="103">
        <f t="shared" si="3"/>
        <v>22752403.199999999</v>
      </c>
    </row>
    <row r="54" spans="1:9" ht="15.6" hidden="1" x14ac:dyDescent="0.3">
      <c r="A54" s="102">
        <v>40</v>
      </c>
      <c r="B54" s="42" t="s">
        <v>411</v>
      </c>
      <c r="C54" s="42" t="s">
        <v>409</v>
      </c>
      <c r="D54" s="42" t="s">
        <v>354</v>
      </c>
      <c r="E54" s="42" t="s">
        <v>357</v>
      </c>
      <c r="F54" s="76">
        <v>2890</v>
      </c>
      <c r="G54" s="43">
        <v>5.85</v>
      </c>
      <c r="H54" s="75">
        <f t="shared" si="2"/>
        <v>3159</v>
      </c>
      <c r="I54" s="103">
        <f t="shared" si="3"/>
        <v>9129510</v>
      </c>
    </row>
    <row r="55" spans="1:9" ht="15.6" hidden="1" x14ac:dyDescent="0.3">
      <c r="A55" s="102">
        <v>41</v>
      </c>
      <c r="B55" s="42" t="s">
        <v>410</v>
      </c>
      <c r="C55" s="42" t="s">
        <v>409</v>
      </c>
      <c r="D55" s="42" t="s">
        <v>354</v>
      </c>
      <c r="E55" s="42" t="s">
        <v>353</v>
      </c>
      <c r="F55" s="76">
        <v>2956</v>
      </c>
      <c r="G55" s="43">
        <v>5.35</v>
      </c>
      <c r="H55" s="75">
        <f t="shared" si="2"/>
        <v>2889</v>
      </c>
      <c r="I55" s="103">
        <f t="shared" si="3"/>
        <v>8539884</v>
      </c>
    </row>
    <row r="56" spans="1:9" ht="15.6" hidden="1" x14ac:dyDescent="0.3">
      <c r="A56" s="102">
        <v>42</v>
      </c>
      <c r="B56" s="42" t="s">
        <v>408</v>
      </c>
      <c r="C56" s="42" t="s">
        <v>405</v>
      </c>
      <c r="D56" s="42" t="s">
        <v>375</v>
      </c>
      <c r="E56" s="42" t="s">
        <v>353</v>
      </c>
      <c r="F56" s="76">
        <v>3022</v>
      </c>
      <c r="G56" s="43">
        <v>3.85</v>
      </c>
      <c r="H56" s="75">
        <f t="shared" si="2"/>
        <v>2079</v>
      </c>
      <c r="I56" s="103">
        <f t="shared" si="3"/>
        <v>6282738</v>
      </c>
    </row>
    <row r="57" spans="1:9" ht="15.6" hidden="1" x14ac:dyDescent="0.3">
      <c r="A57" s="102">
        <v>43</v>
      </c>
      <c r="B57" s="42" t="s">
        <v>407</v>
      </c>
      <c r="C57" s="42" t="s">
        <v>405</v>
      </c>
      <c r="D57" s="42" t="s">
        <v>345</v>
      </c>
      <c r="E57" s="42" t="s">
        <v>374</v>
      </c>
      <c r="F57" s="76">
        <v>3088</v>
      </c>
      <c r="G57" s="43">
        <v>0.92</v>
      </c>
      <c r="H57" s="75">
        <f t="shared" si="2"/>
        <v>496.8</v>
      </c>
      <c r="I57" s="103">
        <f t="shared" si="3"/>
        <v>1534118.4000000001</v>
      </c>
    </row>
    <row r="58" spans="1:9" ht="15.6" hidden="1" x14ac:dyDescent="0.3">
      <c r="A58" s="102">
        <v>44</v>
      </c>
      <c r="B58" s="42" t="s">
        <v>406</v>
      </c>
      <c r="C58" s="42" t="s">
        <v>405</v>
      </c>
      <c r="D58" s="42" t="s">
        <v>341</v>
      </c>
      <c r="E58" s="42" t="s">
        <v>349</v>
      </c>
      <c r="F58" s="76">
        <v>3154</v>
      </c>
      <c r="G58" s="43">
        <v>2.31</v>
      </c>
      <c r="H58" s="75">
        <f t="shared" si="2"/>
        <v>1247.4000000000001</v>
      </c>
      <c r="I58" s="103">
        <f t="shared" si="3"/>
        <v>3934299.6</v>
      </c>
    </row>
    <row r="59" spans="1:9" ht="15.6" hidden="1" x14ac:dyDescent="0.3">
      <c r="A59" s="102">
        <v>45</v>
      </c>
      <c r="B59" s="42" t="s">
        <v>404</v>
      </c>
      <c r="C59" s="42" t="s">
        <v>402</v>
      </c>
      <c r="D59" s="42" t="s">
        <v>354</v>
      </c>
      <c r="E59" s="42" t="s">
        <v>374</v>
      </c>
      <c r="F59" s="76">
        <v>3220</v>
      </c>
      <c r="G59" s="43">
        <v>0.38</v>
      </c>
      <c r="H59" s="75">
        <f t="shared" si="2"/>
        <v>205.2</v>
      </c>
      <c r="I59" s="103">
        <f t="shared" si="3"/>
        <v>660744</v>
      </c>
    </row>
    <row r="60" spans="1:9" ht="15.6" hidden="1" x14ac:dyDescent="0.3">
      <c r="A60" s="102">
        <v>46</v>
      </c>
      <c r="B60" s="42" t="s">
        <v>403</v>
      </c>
      <c r="C60" s="42" t="s">
        <v>402</v>
      </c>
      <c r="D60" s="42" t="s">
        <v>354</v>
      </c>
      <c r="E60" s="42" t="s">
        <v>357</v>
      </c>
      <c r="F60" s="76">
        <v>3286</v>
      </c>
      <c r="G60" s="43">
        <v>1.92</v>
      </c>
      <c r="H60" s="75">
        <f t="shared" si="2"/>
        <v>1036.8</v>
      </c>
      <c r="I60" s="103">
        <f t="shared" si="3"/>
        <v>3406924.8</v>
      </c>
    </row>
    <row r="61" spans="1:9" ht="15.6" hidden="1" x14ac:dyDescent="0.3">
      <c r="A61" s="102">
        <v>47</v>
      </c>
      <c r="B61" s="42" t="s">
        <v>401</v>
      </c>
      <c r="C61" s="42" t="s">
        <v>399</v>
      </c>
      <c r="D61" s="42" t="s">
        <v>366</v>
      </c>
      <c r="E61" s="42" t="s">
        <v>374</v>
      </c>
      <c r="F61" s="76">
        <v>3352</v>
      </c>
      <c r="G61" s="43">
        <v>6.75</v>
      </c>
      <c r="H61" s="75">
        <f t="shared" si="2"/>
        <v>3645</v>
      </c>
      <c r="I61" s="103">
        <f t="shared" si="3"/>
        <v>12218040</v>
      </c>
    </row>
    <row r="62" spans="1:9" ht="15.6" hidden="1" x14ac:dyDescent="0.3">
      <c r="A62" s="102">
        <v>48</v>
      </c>
      <c r="B62" s="42" t="s">
        <v>400</v>
      </c>
      <c r="C62" s="42" t="s">
        <v>399</v>
      </c>
      <c r="D62" s="42" t="s">
        <v>366</v>
      </c>
      <c r="E62" s="42" t="s">
        <v>344</v>
      </c>
      <c r="F62" s="76">
        <v>3418</v>
      </c>
      <c r="G62" s="43">
        <v>3.24</v>
      </c>
      <c r="H62" s="75">
        <f t="shared" si="2"/>
        <v>1749.6000000000001</v>
      </c>
      <c r="I62" s="103">
        <f t="shared" si="3"/>
        <v>5980132.8000000007</v>
      </c>
    </row>
    <row r="63" spans="1:9" ht="15.6" hidden="1" x14ac:dyDescent="0.3">
      <c r="A63" s="102">
        <v>49</v>
      </c>
      <c r="B63" s="42" t="s">
        <v>398</v>
      </c>
      <c r="C63" s="42" t="s">
        <v>346</v>
      </c>
      <c r="D63" s="42" t="s">
        <v>366</v>
      </c>
      <c r="E63" s="42" t="s">
        <v>353</v>
      </c>
      <c r="F63" s="76">
        <v>3484</v>
      </c>
      <c r="G63" s="43">
        <v>2.77</v>
      </c>
      <c r="H63" s="75">
        <f t="shared" si="2"/>
        <v>1495.8</v>
      </c>
      <c r="I63" s="103">
        <f t="shared" si="3"/>
        <v>5211367.2</v>
      </c>
    </row>
    <row r="64" spans="1:9" ht="15.6" hidden="1" x14ac:dyDescent="0.3">
      <c r="A64" s="102">
        <v>50</v>
      </c>
      <c r="B64" s="42" t="s">
        <v>397</v>
      </c>
      <c r="C64" s="42" t="s">
        <v>346</v>
      </c>
      <c r="D64" s="42" t="s">
        <v>366</v>
      </c>
      <c r="E64" s="42" t="s">
        <v>344</v>
      </c>
      <c r="F64" s="76">
        <v>3550</v>
      </c>
      <c r="G64" s="43">
        <v>6.15</v>
      </c>
      <c r="H64" s="75">
        <f t="shared" si="2"/>
        <v>3321</v>
      </c>
      <c r="I64" s="103">
        <f t="shared" si="3"/>
        <v>11789550</v>
      </c>
    </row>
    <row r="65" spans="1:9" ht="15.6" hidden="1" x14ac:dyDescent="0.3">
      <c r="A65" s="102">
        <v>51</v>
      </c>
      <c r="B65" s="42" t="s">
        <v>396</v>
      </c>
      <c r="C65" s="42" t="s">
        <v>393</v>
      </c>
      <c r="D65" s="42" t="s">
        <v>350</v>
      </c>
      <c r="E65" s="42" t="s">
        <v>340</v>
      </c>
      <c r="F65" s="76">
        <v>3616</v>
      </c>
      <c r="G65" s="43">
        <v>2.92</v>
      </c>
      <c r="H65" s="75">
        <f t="shared" si="2"/>
        <v>1576.8</v>
      </c>
      <c r="I65" s="103">
        <f t="shared" si="3"/>
        <v>5701708.7999999998</v>
      </c>
    </row>
    <row r="66" spans="1:9" ht="15.6" hidden="1" x14ac:dyDescent="0.3">
      <c r="A66" s="102">
        <v>52</v>
      </c>
      <c r="B66" s="42" t="s">
        <v>395</v>
      </c>
      <c r="C66" s="42" t="s">
        <v>393</v>
      </c>
      <c r="D66" s="42" t="s">
        <v>375</v>
      </c>
      <c r="E66" s="42" t="s">
        <v>374</v>
      </c>
      <c r="F66" s="76">
        <v>3682</v>
      </c>
      <c r="G66" s="43">
        <v>5.85</v>
      </c>
      <c r="H66" s="75">
        <f t="shared" si="2"/>
        <v>3159</v>
      </c>
      <c r="I66" s="103">
        <f t="shared" si="3"/>
        <v>11631438</v>
      </c>
    </row>
    <row r="67" spans="1:9" ht="15.6" hidden="1" x14ac:dyDescent="0.3">
      <c r="A67" s="102">
        <v>53</v>
      </c>
      <c r="B67" s="42" t="s">
        <v>394</v>
      </c>
      <c r="C67" s="42" t="s">
        <v>393</v>
      </c>
      <c r="D67" s="42" t="s">
        <v>389</v>
      </c>
      <c r="E67" s="42" t="s">
        <v>353</v>
      </c>
      <c r="F67" s="76">
        <v>3748</v>
      </c>
      <c r="G67" s="43">
        <v>1.08</v>
      </c>
      <c r="H67" s="75">
        <f t="shared" si="2"/>
        <v>583.20000000000005</v>
      </c>
      <c r="I67" s="103">
        <f t="shared" si="3"/>
        <v>2185833.6</v>
      </c>
    </row>
    <row r="68" spans="1:9" ht="15.6" hidden="1" x14ac:dyDescent="0.3">
      <c r="A68" s="102">
        <v>54</v>
      </c>
      <c r="B68" s="42" t="s">
        <v>392</v>
      </c>
      <c r="C68" s="42" t="s">
        <v>390</v>
      </c>
      <c r="D68" s="42" t="s">
        <v>389</v>
      </c>
      <c r="E68" s="42" t="s">
        <v>353</v>
      </c>
      <c r="F68" s="76">
        <v>3814</v>
      </c>
      <c r="G68" s="43">
        <v>1.19</v>
      </c>
      <c r="H68" s="75">
        <f t="shared" si="2"/>
        <v>642.6</v>
      </c>
      <c r="I68" s="103">
        <f t="shared" si="3"/>
        <v>2450876.4</v>
      </c>
    </row>
    <row r="69" spans="1:9" ht="15.6" hidden="1" x14ac:dyDescent="0.3">
      <c r="A69" s="102">
        <v>55</v>
      </c>
      <c r="B69" s="42" t="s">
        <v>391</v>
      </c>
      <c r="C69" s="42" t="s">
        <v>390</v>
      </c>
      <c r="D69" s="42" t="s">
        <v>389</v>
      </c>
      <c r="E69" s="42" t="s">
        <v>357</v>
      </c>
      <c r="F69" s="76">
        <v>3880</v>
      </c>
      <c r="G69" s="43">
        <v>2.15</v>
      </c>
      <c r="H69" s="75">
        <f t="shared" si="2"/>
        <v>1161</v>
      </c>
      <c r="I69" s="103">
        <f t="shared" si="3"/>
        <v>4504680</v>
      </c>
    </row>
    <row r="70" spans="1:9" ht="15.6" hidden="1" x14ac:dyDescent="0.3">
      <c r="A70" s="102">
        <v>56</v>
      </c>
      <c r="B70" s="42" t="s">
        <v>388</v>
      </c>
      <c r="C70" s="42" t="s">
        <v>386</v>
      </c>
      <c r="D70" s="42" t="s">
        <v>375</v>
      </c>
      <c r="E70" s="42" t="s">
        <v>357</v>
      </c>
      <c r="F70" s="76">
        <v>3946</v>
      </c>
      <c r="G70" s="43">
        <v>9.6199999999999992</v>
      </c>
      <c r="H70" s="75">
        <f t="shared" si="2"/>
        <v>5194.7999999999993</v>
      </c>
      <c r="I70" s="103">
        <f t="shared" si="3"/>
        <v>20498680.799999997</v>
      </c>
    </row>
    <row r="71" spans="1:9" ht="15.6" hidden="1" x14ac:dyDescent="0.3">
      <c r="A71" s="102">
        <v>57</v>
      </c>
      <c r="B71" s="42" t="s">
        <v>387</v>
      </c>
      <c r="C71" s="42" t="s">
        <v>386</v>
      </c>
      <c r="D71" s="42" t="s">
        <v>375</v>
      </c>
      <c r="E71" s="42" t="s">
        <v>353</v>
      </c>
      <c r="F71" s="76">
        <v>4012</v>
      </c>
      <c r="G71" s="43">
        <v>8.15</v>
      </c>
      <c r="H71" s="75">
        <f t="shared" si="2"/>
        <v>4401</v>
      </c>
      <c r="I71" s="103">
        <f t="shared" si="3"/>
        <v>17656812</v>
      </c>
    </row>
    <row r="72" spans="1:9" ht="15.6" hidden="1" x14ac:dyDescent="0.3">
      <c r="A72" s="102">
        <v>58</v>
      </c>
      <c r="B72" s="42" t="s">
        <v>385</v>
      </c>
      <c r="C72" s="42" t="s">
        <v>384</v>
      </c>
      <c r="D72" s="42" t="s">
        <v>354</v>
      </c>
      <c r="E72" s="42" t="s">
        <v>357</v>
      </c>
      <c r="F72" s="76">
        <v>4078</v>
      </c>
      <c r="G72" s="43">
        <v>5.54</v>
      </c>
      <c r="H72" s="75">
        <f t="shared" si="2"/>
        <v>2991.6</v>
      </c>
      <c r="I72" s="103">
        <f t="shared" si="3"/>
        <v>12199744.799999999</v>
      </c>
    </row>
    <row r="73" spans="1:9" ht="15.6" hidden="1" x14ac:dyDescent="0.3">
      <c r="A73" s="102">
        <v>59</v>
      </c>
      <c r="B73" s="42" t="s">
        <v>383</v>
      </c>
      <c r="C73" s="42" t="s">
        <v>381</v>
      </c>
      <c r="D73" s="42" t="s">
        <v>358</v>
      </c>
      <c r="E73" s="42" t="s">
        <v>340</v>
      </c>
      <c r="F73" s="76">
        <v>4144</v>
      </c>
      <c r="G73" s="43">
        <v>2.68</v>
      </c>
      <c r="H73" s="75">
        <f t="shared" si="2"/>
        <v>1447.2</v>
      </c>
      <c r="I73" s="103">
        <f t="shared" si="3"/>
        <v>5997196.7999999998</v>
      </c>
    </row>
    <row r="74" spans="1:9" ht="15.6" hidden="1" x14ac:dyDescent="0.3">
      <c r="A74" s="102">
        <v>60</v>
      </c>
      <c r="B74" s="42" t="s">
        <v>382</v>
      </c>
      <c r="C74" s="42" t="s">
        <v>381</v>
      </c>
      <c r="D74" s="42" t="s">
        <v>358</v>
      </c>
      <c r="E74" s="42" t="s">
        <v>353</v>
      </c>
      <c r="F74" s="76">
        <v>4210</v>
      </c>
      <c r="G74" s="43">
        <v>12.46</v>
      </c>
      <c r="H74" s="75">
        <f t="shared" si="2"/>
        <v>6728.4000000000005</v>
      </c>
      <c r="I74" s="103">
        <f t="shared" si="3"/>
        <v>28326564.000000004</v>
      </c>
    </row>
    <row r="75" spans="1:9" ht="15.6" hidden="1" x14ac:dyDescent="0.3">
      <c r="A75" s="102">
        <v>61</v>
      </c>
      <c r="B75" s="42" t="s">
        <v>380</v>
      </c>
      <c r="C75" s="42" t="s">
        <v>378</v>
      </c>
      <c r="D75" s="42" t="s">
        <v>341</v>
      </c>
      <c r="E75" s="42" t="s">
        <v>357</v>
      </c>
      <c r="F75" s="76">
        <v>4276</v>
      </c>
      <c r="G75" s="43">
        <v>3.31</v>
      </c>
      <c r="H75" s="75">
        <f t="shared" si="2"/>
        <v>1787.4</v>
      </c>
      <c r="I75" s="103">
        <f t="shared" si="3"/>
        <v>7642922.4000000004</v>
      </c>
    </row>
    <row r="76" spans="1:9" ht="15.6" hidden="1" x14ac:dyDescent="0.3">
      <c r="A76" s="102">
        <v>62</v>
      </c>
      <c r="B76" s="42" t="s">
        <v>379</v>
      </c>
      <c r="C76" s="42" t="s">
        <v>378</v>
      </c>
      <c r="D76" s="42" t="s">
        <v>366</v>
      </c>
      <c r="E76" s="42" t="s">
        <v>353</v>
      </c>
      <c r="F76" s="76">
        <v>4342</v>
      </c>
      <c r="G76" s="43">
        <v>40.54</v>
      </c>
      <c r="H76" s="75">
        <f t="shared" si="2"/>
        <v>21891.599999999999</v>
      </c>
      <c r="I76" s="103">
        <f t="shared" si="3"/>
        <v>95053327.199999988</v>
      </c>
    </row>
    <row r="77" spans="1:9" ht="15.6" hidden="1" x14ac:dyDescent="0.3">
      <c r="A77" s="102">
        <v>63</v>
      </c>
      <c r="B77" s="42" t="s">
        <v>377</v>
      </c>
      <c r="C77" s="42" t="s">
        <v>363</v>
      </c>
      <c r="D77" s="42" t="s">
        <v>341</v>
      </c>
      <c r="E77" s="42" t="s">
        <v>344</v>
      </c>
      <c r="F77" s="76">
        <v>4408</v>
      </c>
      <c r="G77" s="43">
        <v>2.15</v>
      </c>
      <c r="H77" s="75">
        <f t="shared" si="2"/>
        <v>1161</v>
      </c>
      <c r="I77" s="103">
        <f t="shared" si="3"/>
        <v>5117688</v>
      </c>
    </row>
    <row r="78" spans="1:9" ht="15.6" hidden="1" x14ac:dyDescent="0.3">
      <c r="A78" s="102">
        <v>64</v>
      </c>
      <c r="B78" s="42" t="s">
        <v>376</v>
      </c>
      <c r="C78" s="42" t="s">
        <v>342</v>
      </c>
      <c r="D78" s="42" t="s">
        <v>375</v>
      </c>
      <c r="E78" s="42" t="s">
        <v>374</v>
      </c>
      <c r="F78" s="76">
        <v>4474</v>
      </c>
      <c r="G78" s="43">
        <v>1.46</v>
      </c>
      <c r="H78" s="75">
        <f t="shared" si="2"/>
        <v>788.4</v>
      </c>
      <c r="I78" s="103">
        <f t="shared" si="3"/>
        <v>3527301.6</v>
      </c>
    </row>
    <row r="79" spans="1:9" ht="15.6" hidden="1" x14ac:dyDescent="0.3">
      <c r="A79" s="102">
        <v>65</v>
      </c>
      <c r="B79" s="42" t="s">
        <v>373</v>
      </c>
      <c r="C79" s="42" t="s">
        <v>371</v>
      </c>
      <c r="D79" s="42" t="s">
        <v>341</v>
      </c>
      <c r="E79" s="42" t="s">
        <v>353</v>
      </c>
      <c r="F79" s="76">
        <v>4540</v>
      </c>
      <c r="G79" s="43">
        <v>7.02</v>
      </c>
      <c r="H79" s="75">
        <f t="shared" ref="H79:H91" si="4">G79*$L$14</f>
        <v>3790.7999999999997</v>
      </c>
      <c r="I79" s="103">
        <f t="shared" ref="I79:I91" si="5">F79*H79</f>
        <v>17210232</v>
      </c>
    </row>
    <row r="80" spans="1:9" ht="15.6" hidden="1" x14ac:dyDescent="0.3">
      <c r="A80" s="102">
        <v>66</v>
      </c>
      <c r="B80" s="42" t="s">
        <v>372</v>
      </c>
      <c r="C80" s="42" t="s">
        <v>371</v>
      </c>
      <c r="D80" s="42" t="s">
        <v>341</v>
      </c>
      <c r="E80" s="42" t="s">
        <v>353</v>
      </c>
      <c r="F80" s="76">
        <v>4606</v>
      </c>
      <c r="G80" s="43">
        <v>2.92</v>
      </c>
      <c r="H80" s="75">
        <f t="shared" si="4"/>
        <v>1576.8</v>
      </c>
      <c r="I80" s="103">
        <f t="shared" si="5"/>
        <v>7262740.7999999998</v>
      </c>
    </row>
    <row r="81" spans="1:9" ht="15.6" hidden="1" x14ac:dyDescent="0.3">
      <c r="A81" s="102">
        <v>67</v>
      </c>
      <c r="B81" s="42" t="s">
        <v>370</v>
      </c>
      <c r="C81" s="42" t="s">
        <v>369</v>
      </c>
      <c r="D81" s="42" t="s">
        <v>345</v>
      </c>
      <c r="E81" s="42" t="s">
        <v>340</v>
      </c>
      <c r="F81" s="76">
        <v>4672</v>
      </c>
      <c r="G81" s="43">
        <v>3.98</v>
      </c>
      <c r="H81" s="75">
        <f t="shared" si="4"/>
        <v>2149.1999999999998</v>
      </c>
      <c r="I81" s="103">
        <f t="shared" si="5"/>
        <v>10041062.399999999</v>
      </c>
    </row>
    <row r="82" spans="1:9" ht="15.6" hidden="1" x14ac:dyDescent="0.3">
      <c r="A82" s="102">
        <v>68</v>
      </c>
      <c r="B82" s="42" t="s">
        <v>368</v>
      </c>
      <c r="C82" s="42" t="s">
        <v>367</v>
      </c>
      <c r="D82" s="42" t="s">
        <v>366</v>
      </c>
      <c r="E82" s="42" t="s">
        <v>344</v>
      </c>
      <c r="F82" s="76">
        <v>4738</v>
      </c>
      <c r="G82" s="43">
        <v>19.04</v>
      </c>
      <c r="H82" s="75">
        <f t="shared" si="4"/>
        <v>10281.6</v>
      </c>
      <c r="I82" s="103">
        <f t="shared" si="5"/>
        <v>48714220.800000004</v>
      </c>
    </row>
    <row r="83" spans="1:9" ht="15.6" hidden="1" x14ac:dyDescent="0.3">
      <c r="A83" s="102">
        <v>69</v>
      </c>
      <c r="B83" s="42" t="s">
        <v>365</v>
      </c>
      <c r="C83" s="42" t="s">
        <v>361</v>
      </c>
      <c r="D83" s="42" t="s">
        <v>358</v>
      </c>
      <c r="E83" s="42" t="s">
        <v>340</v>
      </c>
      <c r="F83" s="76">
        <v>4804</v>
      </c>
      <c r="G83" s="43">
        <v>1.42</v>
      </c>
      <c r="H83" s="75">
        <f t="shared" si="4"/>
        <v>766.8</v>
      </c>
      <c r="I83" s="103">
        <f t="shared" si="5"/>
        <v>3683707.1999999997</v>
      </c>
    </row>
    <row r="84" spans="1:9" ht="15.6" hidden="1" x14ac:dyDescent="0.3">
      <c r="A84" s="102">
        <v>70</v>
      </c>
      <c r="B84" s="42" t="s">
        <v>364</v>
      </c>
      <c r="C84" s="42" t="s">
        <v>363</v>
      </c>
      <c r="D84" s="42" t="s">
        <v>345</v>
      </c>
      <c r="E84" s="42" t="s">
        <v>340</v>
      </c>
      <c r="F84" s="76">
        <v>4870</v>
      </c>
      <c r="G84" s="43">
        <v>2.99</v>
      </c>
      <c r="H84" s="75">
        <f t="shared" si="4"/>
        <v>1614.6000000000001</v>
      </c>
      <c r="I84" s="103">
        <f t="shared" si="5"/>
        <v>7863102.0000000009</v>
      </c>
    </row>
    <row r="85" spans="1:9" ht="15.6" hidden="1" x14ac:dyDescent="0.3">
      <c r="A85" s="102">
        <v>71</v>
      </c>
      <c r="B85" s="42" t="s">
        <v>362</v>
      </c>
      <c r="C85" s="42" t="s">
        <v>361</v>
      </c>
      <c r="D85" s="42" t="s">
        <v>358</v>
      </c>
      <c r="E85" s="42" t="s">
        <v>353</v>
      </c>
      <c r="F85" s="76">
        <v>4936</v>
      </c>
      <c r="G85" s="43">
        <v>3.28</v>
      </c>
      <c r="H85" s="75">
        <f t="shared" si="4"/>
        <v>1771.1999999999998</v>
      </c>
      <c r="I85" s="103">
        <f t="shared" si="5"/>
        <v>8742643.1999999993</v>
      </c>
    </row>
    <row r="86" spans="1:9" ht="15.6" hidden="1" x14ac:dyDescent="0.3">
      <c r="A86" s="102">
        <v>72</v>
      </c>
      <c r="B86" s="42" t="s">
        <v>360</v>
      </c>
      <c r="C86" s="42" t="s">
        <v>359</v>
      </c>
      <c r="D86" s="42" t="s">
        <v>358</v>
      </c>
      <c r="E86" s="42" t="s">
        <v>357</v>
      </c>
      <c r="F86" s="76">
        <v>5002</v>
      </c>
      <c r="G86" s="43">
        <v>4.7699999999999996</v>
      </c>
      <c r="H86" s="75">
        <f t="shared" si="4"/>
        <v>2575.7999999999997</v>
      </c>
      <c r="I86" s="103">
        <f t="shared" si="5"/>
        <v>12884151.599999998</v>
      </c>
    </row>
    <row r="87" spans="1:9" ht="15.6" hidden="1" x14ac:dyDescent="0.3">
      <c r="A87" s="102">
        <v>73</v>
      </c>
      <c r="B87" s="42" t="s">
        <v>356</v>
      </c>
      <c r="C87" s="42" t="s">
        <v>355</v>
      </c>
      <c r="D87" s="42" t="s">
        <v>354</v>
      </c>
      <c r="E87" s="42" t="s">
        <v>353</v>
      </c>
      <c r="F87" s="76">
        <v>5068</v>
      </c>
      <c r="G87" s="43">
        <v>4.92</v>
      </c>
      <c r="H87" s="75">
        <f t="shared" si="4"/>
        <v>2656.8</v>
      </c>
      <c r="I87" s="103">
        <f t="shared" si="5"/>
        <v>13464662.4</v>
      </c>
    </row>
    <row r="88" spans="1:9" ht="15.6" hidden="1" x14ac:dyDescent="0.3">
      <c r="A88" s="102">
        <v>74</v>
      </c>
      <c r="B88" s="42" t="s">
        <v>352</v>
      </c>
      <c r="C88" s="42" t="s">
        <v>351</v>
      </c>
      <c r="D88" s="42" t="s">
        <v>350</v>
      </c>
      <c r="E88" s="42" t="s">
        <v>349</v>
      </c>
      <c r="F88" s="76">
        <v>5134</v>
      </c>
      <c r="G88" s="43">
        <v>2.62</v>
      </c>
      <c r="H88" s="75">
        <f t="shared" si="4"/>
        <v>1414.8</v>
      </c>
      <c r="I88" s="103">
        <f t="shared" si="5"/>
        <v>7263583.2000000002</v>
      </c>
    </row>
    <row r="89" spans="1:9" ht="15.6" hidden="1" x14ac:dyDescent="0.3">
      <c r="A89" s="102">
        <v>75</v>
      </c>
      <c r="B89" s="42" t="s">
        <v>348</v>
      </c>
      <c r="C89" s="42" t="s">
        <v>342</v>
      </c>
      <c r="D89" s="42" t="s">
        <v>345</v>
      </c>
      <c r="E89" s="42" t="s">
        <v>340</v>
      </c>
      <c r="F89" s="76">
        <v>5200</v>
      </c>
      <c r="G89" s="43">
        <v>1.46</v>
      </c>
      <c r="H89" s="75">
        <f t="shared" si="4"/>
        <v>788.4</v>
      </c>
      <c r="I89" s="103">
        <f t="shared" si="5"/>
        <v>4099680</v>
      </c>
    </row>
    <row r="90" spans="1:9" ht="15.6" hidden="1" x14ac:dyDescent="0.3">
      <c r="A90" s="102">
        <v>76</v>
      </c>
      <c r="B90" s="42" t="s">
        <v>347</v>
      </c>
      <c r="C90" s="42" t="s">
        <v>346</v>
      </c>
      <c r="D90" s="42" t="s">
        <v>345</v>
      </c>
      <c r="E90" s="42" t="s">
        <v>344</v>
      </c>
      <c r="F90" s="76">
        <v>5266</v>
      </c>
      <c r="G90" s="43">
        <v>1.54</v>
      </c>
      <c r="H90" s="75">
        <f t="shared" si="4"/>
        <v>831.6</v>
      </c>
      <c r="I90" s="103">
        <f t="shared" si="5"/>
        <v>4379205.6000000006</v>
      </c>
    </row>
    <row r="91" spans="1:9" ht="15.6" hidden="1" x14ac:dyDescent="0.3">
      <c r="A91" s="108">
        <v>77</v>
      </c>
      <c r="B91" s="109" t="s">
        <v>343</v>
      </c>
      <c r="C91" s="109" t="s">
        <v>342</v>
      </c>
      <c r="D91" s="109" t="s">
        <v>341</v>
      </c>
      <c r="E91" s="109" t="s">
        <v>340</v>
      </c>
      <c r="F91" s="110">
        <v>5332</v>
      </c>
      <c r="G91" s="111">
        <v>1.48</v>
      </c>
      <c r="H91" s="112">
        <f t="shared" si="4"/>
        <v>799.2</v>
      </c>
      <c r="I91" s="113">
        <f t="shared" si="5"/>
        <v>4261334.4000000004</v>
      </c>
    </row>
  </sheetData>
  <conditionalFormatting sqref="A9:A13">
    <cfRule type="cellIs" dxfId="24" priority="7" stopIfTrue="1" operator="greaterThan">
      <formula>0</formula>
    </cfRule>
  </conditionalFormatting>
  <conditionalFormatting sqref="A9:A11">
    <cfRule type="cellIs" dxfId="23" priority="6" stopIfTrue="1" operator="greaterThan">
      <formula>0</formula>
    </cfRule>
  </conditionalFormatting>
  <conditionalFormatting sqref="A9:A11">
    <cfRule type="cellIs" dxfId="22" priority="5" stopIfTrue="1" operator="greaterThan">
      <formula>0</formula>
    </cfRule>
  </conditionalFormatting>
  <conditionalFormatting sqref="A9:A11">
    <cfRule type="cellIs" dxfId="21" priority="4" stopIfTrue="1" operator="greaterThan">
      <formula>0</formula>
    </cfRule>
  </conditionalFormatting>
  <conditionalFormatting sqref="A8:A12">
    <cfRule type="expression" dxfId="20" priority="3" stopIfTrue="1">
      <formula>ISNUMBER($A$8:$A$10)</formula>
    </cfRule>
  </conditionalFormatting>
  <conditionalFormatting sqref="I1:I1048576">
    <cfRule type="cellIs" dxfId="19" priority="1" operator="greaterThan">
      <formula>7000000</formula>
    </cfRule>
  </conditionalFormatting>
  <pageMargins left="0.75" right="0.75" top="1" bottom="1" header="0" footer="0"/>
  <pageSetup paperSize="9" orientation="portrait" horizontalDpi="0" verticalDpi="0" r:id="rId1"/>
  <headerFooter alignWithMargins="0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818B6-D0D0-4A62-AFDE-E3745A7C01EB}">
  <sheetPr codeName="Hoja9"/>
  <dimension ref="B9:I27"/>
  <sheetViews>
    <sheetView showGridLines="0" zoomScale="130" zoomScaleNormal="130" workbookViewId="0">
      <selection activeCell="I16" sqref="I16"/>
    </sheetView>
  </sheetViews>
  <sheetFormatPr baseColWidth="10" defaultColWidth="11.44140625" defaultRowHeight="13.2" x14ac:dyDescent="0.25"/>
  <cols>
    <col min="1" max="1" width="3" style="1" customWidth="1"/>
    <col min="2" max="2" width="29" style="1" bestFit="1" customWidth="1"/>
    <col min="3" max="3" width="13.5546875" style="1" customWidth="1"/>
    <col min="4" max="4" width="11.5546875" style="1" customWidth="1"/>
    <col min="5" max="5" width="11.44140625" style="1"/>
    <col min="6" max="6" width="5.44140625" style="1" customWidth="1"/>
    <col min="7" max="7" width="5" style="1" customWidth="1"/>
    <col min="8" max="8" width="12.33203125" style="1" customWidth="1"/>
    <col min="9" max="9" width="9" style="1" bestFit="1" customWidth="1"/>
    <col min="10" max="16384" width="11.44140625" style="1"/>
  </cols>
  <sheetData>
    <row r="9" spans="2:9" x14ac:dyDescent="0.25">
      <c r="B9" s="1">
        <v>4</v>
      </c>
      <c r="C9" s="2">
        <v>4</v>
      </c>
    </row>
    <row r="14" spans="2:9" ht="13.8" thickBot="1" x14ac:dyDescent="0.3"/>
    <row r="15" spans="2:9" ht="27" thickBot="1" x14ac:dyDescent="0.3">
      <c r="B15" s="36" t="s">
        <v>492</v>
      </c>
      <c r="C15" s="36" t="s">
        <v>491</v>
      </c>
      <c r="D15" s="36" t="s">
        <v>490</v>
      </c>
      <c r="E15" s="36" t="s">
        <v>489</v>
      </c>
      <c r="H15" s="35" t="s">
        <v>488</v>
      </c>
      <c r="I15" s="35" t="s">
        <v>487</v>
      </c>
    </row>
    <row r="16" spans="2:9" ht="15" thickBot="1" x14ac:dyDescent="0.35">
      <c r="B16" s="22" t="s">
        <v>486</v>
      </c>
      <c r="C16" s="22" t="s">
        <v>478</v>
      </c>
      <c r="D16" s="44">
        <v>300000</v>
      </c>
      <c r="E16" s="60">
        <f>VLOOKUP(C16,$H$16:$I$20,2,FALSE)</f>
        <v>0.14799999999999999</v>
      </c>
      <c r="H16" s="34" t="s">
        <v>478</v>
      </c>
      <c r="I16" s="33">
        <v>0.14799999999999999</v>
      </c>
    </row>
    <row r="17" spans="2:9" ht="15" thickBot="1" x14ac:dyDescent="0.35">
      <c r="B17" s="22" t="s">
        <v>485</v>
      </c>
      <c r="C17" s="22" t="s">
        <v>476</v>
      </c>
      <c r="D17" s="44">
        <v>160000</v>
      </c>
      <c r="E17" s="60">
        <f t="shared" ref="E17:E27" si="0">VLOOKUP(C17,$H$16:$I$20,2,FALSE)</f>
        <v>0.13900000000000001</v>
      </c>
      <c r="H17" s="34" t="s">
        <v>472</v>
      </c>
      <c r="I17" s="33">
        <v>0.13400000000000001</v>
      </c>
    </row>
    <row r="18" spans="2:9" ht="15" thickBot="1" x14ac:dyDescent="0.35">
      <c r="B18" s="22" t="s">
        <v>484</v>
      </c>
      <c r="C18" s="22" t="s">
        <v>478</v>
      </c>
      <c r="D18" s="44">
        <v>200000</v>
      </c>
      <c r="E18" s="60">
        <f t="shared" si="0"/>
        <v>0.14799999999999999</v>
      </c>
      <c r="H18" s="34" t="s">
        <v>474</v>
      </c>
      <c r="I18" s="33">
        <v>0.14599999999999999</v>
      </c>
    </row>
    <row r="19" spans="2:9" ht="15" thickBot="1" x14ac:dyDescent="0.35">
      <c r="B19" s="22" t="s">
        <v>483</v>
      </c>
      <c r="C19" s="22" t="s">
        <v>476</v>
      </c>
      <c r="D19" s="44">
        <v>250000</v>
      </c>
      <c r="E19" s="60">
        <f t="shared" si="0"/>
        <v>0.13900000000000001</v>
      </c>
      <c r="H19" s="34" t="s">
        <v>476</v>
      </c>
      <c r="I19" s="33">
        <v>0.13900000000000001</v>
      </c>
    </row>
    <row r="20" spans="2:9" ht="15" thickBot="1" x14ac:dyDescent="0.35">
      <c r="B20" s="22" t="s">
        <v>482</v>
      </c>
      <c r="C20" s="22" t="s">
        <v>474</v>
      </c>
      <c r="D20" s="44">
        <v>550000</v>
      </c>
      <c r="E20" s="60">
        <f t="shared" si="0"/>
        <v>0.14599999999999999</v>
      </c>
      <c r="H20" s="34" t="s">
        <v>470</v>
      </c>
      <c r="I20" s="33">
        <v>0.1234</v>
      </c>
    </row>
    <row r="21" spans="2:9" ht="13.8" x14ac:dyDescent="0.3">
      <c r="B21" s="22" t="s">
        <v>481</v>
      </c>
      <c r="C21" s="22" t="s">
        <v>472</v>
      </c>
      <c r="D21" s="44">
        <v>250000</v>
      </c>
      <c r="E21" s="60">
        <f t="shared" si="0"/>
        <v>0.13400000000000001</v>
      </c>
    </row>
    <row r="22" spans="2:9" ht="13.8" x14ac:dyDescent="0.3">
      <c r="B22" s="22" t="s">
        <v>480</v>
      </c>
      <c r="C22" s="22" t="s">
        <v>470</v>
      </c>
      <c r="D22" s="44">
        <v>350000</v>
      </c>
      <c r="E22" s="60">
        <f t="shared" si="0"/>
        <v>0.1234</v>
      </c>
    </row>
    <row r="23" spans="2:9" ht="13.8" x14ac:dyDescent="0.3">
      <c r="B23" s="22" t="s">
        <v>479</v>
      </c>
      <c r="C23" s="22" t="s">
        <v>478</v>
      </c>
      <c r="D23" s="44">
        <v>850000</v>
      </c>
      <c r="E23" s="60">
        <f t="shared" si="0"/>
        <v>0.14799999999999999</v>
      </c>
    </row>
    <row r="24" spans="2:9" ht="13.8" x14ac:dyDescent="0.3">
      <c r="B24" s="22" t="s">
        <v>477</v>
      </c>
      <c r="C24" s="22" t="s">
        <v>476</v>
      </c>
      <c r="D24" s="44">
        <v>230000</v>
      </c>
      <c r="E24" s="60">
        <f t="shared" si="0"/>
        <v>0.13900000000000001</v>
      </c>
    </row>
    <row r="25" spans="2:9" ht="13.8" x14ac:dyDescent="0.3">
      <c r="B25" s="22" t="s">
        <v>475</v>
      </c>
      <c r="C25" s="22" t="s">
        <v>474</v>
      </c>
      <c r="D25" s="44">
        <v>260000</v>
      </c>
      <c r="E25" s="60">
        <f t="shared" si="0"/>
        <v>0.14599999999999999</v>
      </c>
    </row>
    <row r="26" spans="2:9" ht="13.8" x14ac:dyDescent="0.3">
      <c r="B26" s="22" t="s">
        <v>473</v>
      </c>
      <c r="C26" s="22" t="s">
        <v>472</v>
      </c>
      <c r="D26" s="44">
        <v>400000</v>
      </c>
      <c r="E26" s="60">
        <f t="shared" si="0"/>
        <v>0.13400000000000001</v>
      </c>
    </row>
    <row r="27" spans="2:9" ht="13.8" x14ac:dyDescent="0.3">
      <c r="B27" s="22" t="s">
        <v>471</v>
      </c>
      <c r="C27" s="22" t="s">
        <v>470</v>
      </c>
      <c r="D27" s="44">
        <v>500000</v>
      </c>
      <c r="E27" s="60">
        <f t="shared" si="0"/>
        <v>0.1234</v>
      </c>
    </row>
  </sheetData>
  <pageMargins left="0.75" right="0.75" top="1" bottom="1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AFBC9-C22F-4F26-B0A9-F88B941E468C}">
  <sheetPr codeName="Hoja18"/>
  <dimension ref="A8:N66"/>
  <sheetViews>
    <sheetView showGridLines="0" topLeftCell="A9" zoomScale="85" zoomScaleNormal="85" workbookViewId="0">
      <selection activeCell="J40" sqref="J40"/>
    </sheetView>
  </sheetViews>
  <sheetFormatPr baseColWidth="10" defaultColWidth="11.44140625" defaultRowHeight="13.2" x14ac:dyDescent="0.25"/>
  <cols>
    <col min="1" max="2" width="11.44140625" style="1"/>
    <col min="3" max="3" width="19.109375" style="1" customWidth="1"/>
    <col min="4" max="4" width="13.109375" style="1" bestFit="1" customWidth="1"/>
    <col min="5" max="5" width="12.33203125" style="1" bestFit="1" customWidth="1"/>
    <col min="6" max="6" width="11.44140625" style="1"/>
    <col min="7" max="7" width="14.33203125" style="1" bestFit="1" customWidth="1"/>
    <col min="8" max="10" width="16" style="1" bestFit="1" customWidth="1"/>
    <col min="11" max="12" width="11.6640625" style="1" bestFit="1" customWidth="1"/>
    <col min="13" max="16384" width="11.44140625" style="1"/>
  </cols>
  <sheetData>
    <row r="8" spans="1:5" ht="14.4" x14ac:dyDescent="0.3">
      <c r="A8"/>
    </row>
    <row r="9" spans="1:5" ht="14.4" x14ac:dyDescent="0.3">
      <c r="A9"/>
      <c r="B9" s="2">
        <v>4</v>
      </c>
    </row>
    <row r="10" spans="1:5" ht="14.4" x14ac:dyDescent="0.3">
      <c r="A10"/>
    </row>
    <row r="11" spans="1:5" ht="14.4" x14ac:dyDescent="0.3">
      <c r="A11"/>
    </row>
    <row r="12" spans="1:5" ht="14.4" x14ac:dyDescent="0.3">
      <c r="A12"/>
    </row>
    <row r="14" spans="1:5" ht="15.75" customHeight="1" x14ac:dyDescent="0.25">
      <c r="B14" s="6" t="s">
        <v>5</v>
      </c>
      <c r="C14" s="6" t="s">
        <v>6</v>
      </c>
      <c r="D14" s="6" t="s">
        <v>7</v>
      </c>
      <c r="E14" s="6" t="s">
        <v>8</v>
      </c>
    </row>
    <row r="15" spans="1:5" ht="14.4" x14ac:dyDescent="0.3">
      <c r="B15" s="7" t="s">
        <v>9</v>
      </c>
      <c r="C15" s="7" t="s">
        <v>10</v>
      </c>
      <c r="D15" s="7" t="s">
        <v>1</v>
      </c>
      <c r="E15" s="45">
        <v>11000</v>
      </c>
    </row>
    <row r="16" spans="1:5" ht="14.4" x14ac:dyDescent="0.3">
      <c r="B16" s="7" t="s">
        <v>2</v>
      </c>
      <c r="C16" s="7" t="s">
        <v>11</v>
      </c>
      <c r="D16" s="7" t="s">
        <v>1</v>
      </c>
      <c r="E16" s="45">
        <v>11900</v>
      </c>
    </row>
    <row r="17" spans="1:14" ht="14.4" x14ac:dyDescent="0.3">
      <c r="B17" s="7" t="s">
        <v>9</v>
      </c>
      <c r="C17" s="7" t="s">
        <v>12</v>
      </c>
      <c r="D17" s="7" t="s">
        <v>1</v>
      </c>
      <c r="E17" s="45">
        <v>16400</v>
      </c>
    </row>
    <row r="18" spans="1:14" ht="14.4" x14ac:dyDescent="0.3">
      <c r="B18" s="7" t="s">
        <v>3</v>
      </c>
      <c r="C18" s="7" t="s">
        <v>10</v>
      </c>
      <c r="D18" s="7" t="s">
        <v>13</v>
      </c>
      <c r="E18" s="45">
        <v>17500</v>
      </c>
    </row>
    <row r="19" spans="1:14" ht="14.4" x14ac:dyDescent="0.3">
      <c r="B19" s="7" t="s">
        <v>3</v>
      </c>
      <c r="C19" s="7" t="s">
        <v>10</v>
      </c>
      <c r="D19" s="7" t="s">
        <v>0</v>
      </c>
      <c r="E19" s="45">
        <v>17600</v>
      </c>
    </row>
    <row r="20" spans="1:14" ht="14.4" x14ac:dyDescent="0.3">
      <c r="B20" s="7" t="s">
        <v>4</v>
      </c>
      <c r="C20" s="7" t="s">
        <v>12</v>
      </c>
      <c r="D20" s="7" t="s">
        <v>0</v>
      </c>
      <c r="E20" s="45">
        <v>18200</v>
      </c>
    </row>
    <row r="21" spans="1:14" ht="14.4" x14ac:dyDescent="0.3">
      <c r="B21" s="7" t="s">
        <v>3</v>
      </c>
      <c r="C21" s="7" t="s">
        <v>11</v>
      </c>
      <c r="D21" s="7" t="s">
        <v>13</v>
      </c>
      <c r="E21" s="45">
        <v>18400</v>
      </c>
    </row>
    <row r="22" spans="1:14" ht="14.4" x14ac:dyDescent="0.3">
      <c r="B22" s="7" t="s">
        <v>9</v>
      </c>
      <c r="C22" s="7" t="s">
        <v>12</v>
      </c>
      <c r="D22" s="7" t="s">
        <v>13</v>
      </c>
      <c r="E22" s="45">
        <v>20000</v>
      </c>
    </row>
    <row r="23" spans="1:14" ht="14.4" x14ac:dyDescent="0.3">
      <c r="B23" s="7" t="s">
        <v>4</v>
      </c>
      <c r="C23" s="7" t="s">
        <v>12</v>
      </c>
      <c r="D23" s="7" t="s">
        <v>1</v>
      </c>
      <c r="E23" s="45">
        <v>20100</v>
      </c>
    </row>
    <row r="24" spans="1:14" ht="14.4" x14ac:dyDescent="0.3">
      <c r="B24" s="7" t="s">
        <v>4</v>
      </c>
      <c r="C24" s="7" t="s">
        <v>10</v>
      </c>
      <c r="D24" s="7" t="s">
        <v>1</v>
      </c>
      <c r="E24" s="45">
        <v>21400</v>
      </c>
      <c r="G24"/>
      <c r="H24"/>
    </row>
    <row r="25" spans="1:14" ht="14.4" x14ac:dyDescent="0.3">
      <c r="B25" s="7" t="s">
        <v>14</v>
      </c>
      <c r="C25" s="7" t="s">
        <v>11</v>
      </c>
      <c r="D25" s="7" t="s">
        <v>1</v>
      </c>
      <c r="E25" s="45">
        <v>23000</v>
      </c>
    </row>
    <row r="26" spans="1:14" ht="14.4" x14ac:dyDescent="0.3">
      <c r="B26" s="7" t="s">
        <v>4</v>
      </c>
      <c r="C26" s="7" t="s">
        <v>12</v>
      </c>
      <c r="D26" s="7" t="s">
        <v>13</v>
      </c>
      <c r="E26" s="45">
        <v>23400</v>
      </c>
      <c r="G26" s="84" t="s">
        <v>519</v>
      </c>
      <c r="H26" s="84" t="s">
        <v>6</v>
      </c>
      <c r="I26" s="82"/>
      <c r="J26" s="82"/>
      <c r="K26" s="83"/>
      <c r="L26"/>
      <c r="M26"/>
      <c r="N26"/>
    </row>
    <row r="27" spans="1:14" ht="14.4" x14ac:dyDescent="0.3">
      <c r="B27" s="7" t="s">
        <v>4</v>
      </c>
      <c r="C27" s="7" t="s">
        <v>11</v>
      </c>
      <c r="D27" s="7" t="s">
        <v>0</v>
      </c>
      <c r="E27" s="45">
        <v>24500</v>
      </c>
      <c r="G27" s="84" t="s">
        <v>7</v>
      </c>
      <c r="H27" s="81" t="s">
        <v>10</v>
      </c>
      <c r="I27" s="87" t="s">
        <v>11</v>
      </c>
      <c r="J27" s="87" t="s">
        <v>12</v>
      </c>
      <c r="K27" s="88" t="s">
        <v>516</v>
      </c>
      <c r="L27"/>
      <c r="M27"/>
      <c r="N27"/>
    </row>
    <row r="28" spans="1:14" ht="14.4" x14ac:dyDescent="0.3">
      <c r="B28" s="7" t="s">
        <v>2</v>
      </c>
      <c r="C28" s="7" t="s">
        <v>11</v>
      </c>
      <c r="D28" s="7" t="s">
        <v>0</v>
      </c>
      <c r="E28" s="45">
        <v>25500</v>
      </c>
      <c r="G28" s="81" t="s">
        <v>0</v>
      </c>
      <c r="H28" s="81">
        <v>3</v>
      </c>
      <c r="I28" s="87">
        <v>2</v>
      </c>
      <c r="J28" s="87">
        <v>1</v>
      </c>
      <c r="K28" s="88">
        <v>6</v>
      </c>
      <c r="L28"/>
      <c r="M28"/>
      <c r="N28"/>
    </row>
    <row r="29" spans="1:14" ht="14.4" x14ac:dyDescent="0.3">
      <c r="B29" s="7" t="s">
        <v>15</v>
      </c>
      <c r="C29" s="7" t="s">
        <v>10</v>
      </c>
      <c r="D29" s="7" t="s">
        <v>0</v>
      </c>
      <c r="E29" s="45">
        <v>30000</v>
      </c>
      <c r="G29" s="85" t="s">
        <v>1</v>
      </c>
      <c r="H29" s="85">
        <v>3</v>
      </c>
      <c r="I29">
        <v>2</v>
      </c>
      <c r="J29">
        <v>2</v>
      </c>
      <c r="K29" s="91">
        <v>7</v>
      </c>
      <c r="L29"/>
      <c r="M29"/>
      <c r="N29"/>
    </row>
    <row r="30" spans="1:14" ht="15.6" x14ac:dyDescent="0.3">
      <c r="A30" s="3"/>
      <c r="B30" s="7" t="s">
        <v>2</v>
      </c>
      <c r="C30" s="7" t="s">
        <v>10</v>
      </c>
      <c r="D30" s="7" t="s">
        <v>1</v>
      </c>
      <c r="E30" s="45">
        <v>30600</v>
      </c>
      <c r="G30" s="85" t="s">
        <v>13</v>
      </c>
      <c r="H30" s="85">
        <v>1</v>
      </c>
      <c r="I30">
        <v>1</v>
      </c>
      <c r="J30">
        <v>4</v>
      </c>
      <c r="K30" s="91">
        <v>6</v>
      </c>
      <c r="L30"/>
      <c r="M30"/>
      <c r="N30"/>
    </row>
    <row r="31" spans="1:14" ht="15.6" x14ac:dyDescent="0.3">
      <c r="A31" s="3"/>
      <c r="B31" s="7" t="s">
        <v>3</v>
      </c>
      <c r="C31" s="7" t="s">
        <v>12</v>
      </c>
      <c r="D31" s="7" t="s">
        <v>13</v>
      </c>
      <c r="E31" s="45">
        <v>34600</v>
      </c>
      <c r="G31" s="86" t="s">
        <v>516</v>
      </c>
      <c r="H31" s="86">
        <v>7</v>
      </c>
      <c r="I31" s="92">
        <v>5</v>
      </c>
      <c r="J31" s="92">
        <v>7</v>
      </c>
      <c r="K31" s="90">
        <v>19</v>
      </c>
      <c r="L31"/>
      <c r="M31"/>
      <c r="N31"/>
    </row>
    <row r="32" spans="1:14" ht="15.6" x14ac:dyDescent="0.3">
      <c r="A32" s="3"/>
      <c r="B32" s="7" t="s">
        <v>3</v>
      </c>
      <c r="C32" s="7" t="s">
        <v>12</v>
      </c>
      <c r="D32" s="7" t="s">
        <v>13</v>
      </c>
      <c r="E32" s="45">
        <v>35000</v>
      </c>
      <c r="G32"/>
      <c r="H32"/>
      <c r="I32"/>
      <c r="J32"/>
      <c r="K32"/>
      <c r="L32"/>
      <c r="M32"/>
      <c r="N32"/>
    </row>
    <row r="33" spans="1:14" ht="15.6" x14ac:dyDescent="0.3">
      <c r="A33" s="3"/>
      <c r="B33" s="7" t="s">
        <v>2</v>
      </c>
      <c r="C33" s="7" t="s">
        <v>10</v>
      </c>
      <c r="D33" s="7" t="s">
        <v>0</v>
      </c>
      <c r="E33" s="45">
        <v>37400</v>
      </c>
      <c r="G33"/>
      <c r="H33"/>
      <c r="I33"/>
      <c r="J33"/>
      <c r="K33"/>
      <c r="L33"/>
      <c r="M33"/>
      <c r="N33"/>
    </row>
    <row r="34" spans="1:14" ht="14.4" x14ac:dyDescent="0.3">
      <c r="G34"/>
      <c r="H34"/>
      <c r="I34"/>
      <c r="J34"/>
      <c r="K34"/>
      <c r="L34"/>
      <c r="M34"/>
      <c r="N34"/>
    </row>
    <row r="35" spans="1:14" ht="14.4" x14ac:dyDescent="0.3">
      <c r="G35"/>
      <c r="H35"/>
      <c r="I35"/>
      <c r="J35"/>
      <c r="K35"/>
      <c r="L35"/>
      <c r="M35"/>
      <c r="N35"/>
    </row>
    <row r="36" spans="1:14" ht="14.4" x14ac:dyDescent="0.3">
      <c r="G36"/>
      <c r="H36"/>
      <c r="I36"/>
      <c r="J36"/>
      <c r="K36"/>
      <c r="L36"/>
      <c r="M36"/>
      <c r="N36"/>
    </row>
    <row r="37" spans="1:14" ht="14.4" x14ac:dyDescent="0.3">
      <c r="G37"/>
      <c r="H37"/>
      <c r="I37"/>
      <c r="J37"/>
      <c r="K37"/>
      <c r="L37"/>
      <c r="M37"/>
      <c r="N37"/>
    </row>
    <row r="38" spans="1:14" ht="14.4" x14ac:dyDescent="0.3">
      <c r="G38"/>
      <c r="H38"/>
      <c r="I38"/>
      <c r="J38"/>
      <c r="K38"/>
      <c r="L38"/>
      <c r="M38"/>
      <c r="N38"/>
    </row>
    <row r="39" spans="1:14" ht="14.4" x14ac:dyDescent="0.3">
      <c r="G39"/>
      <c r="H39"/>
      <c r="I39"/>
      <c r="J39"/>
      <c r="K39"/>
      <c r="L39"/>
      <c r="M39"/>
      <c r="N39"/>
    </row>
    <row r="40" spans="1:14" ht="14.4" x14ac:dyDescent="0.3">
      <c r="G40"/>
      <c r="H40"/>
      <c r="I40"/>
      <c r="J40"/>
      <c r="K40"/>
      <c r="L40"/>
      <c r="M40"/>
      <c r="N40"/>
    </row>
    <row r="41" spans="1:14" ht="14.4" x14ac:dyDescent="0.3">
      <c r="G41"/>
      <c r="H41"/>
      <c r="I41"/>
      <c r="J41"/>
      <c r="K41"/>
      <c r="L41"/>
      <c r="M41"/>
      <c r="N41"/>
    </row>
    <row r="42" spans="1:14" ht="14.4" x14ac:dyDescent="0.3">
      <c r="G42"/>
      <c r="H42"/>
      <c r="I42"/>
      <c r="J42"/>
      <c r="K42"/>
      <c r="L42"/>
      <c r="M42"/>
      <c r="N42"/>
    </row>
    <row r="43" spans="1:14" ht="14.4" x14ac:dyDescent="0.3">
      <c r="G43"/>
      <c r="H43"/>
      <c r="I43"/>
      <c r="J43"/>
      <c r="K43"/>
      <c r="L43"/>
      <c r="M43"/>
      <c r="N43"/>
    </row>
    <row r="44" spans="1:14" ht="14.4" x14ac:dyDescent="0.3">
      <c r="G44"/>
      <c r="H44"/>
      <c r="I44"/>
      <c r="J44"/>
      <c r="K44"/>
      <c r="L44"/>
      <c r="M44"/>
      <c r="N44"/>
    </row>
    <row r="45" spans="1:14" ht="14.4" x14ac:dyDescent="0.3">
      <c r="G45"/>
      <c r="H45"/>
      <c r="I45"/>
      <c r="J45"/>
      <c r="K45"/>
      <c r="L45"/>
      <c r="M45"/>
      <c r="N45"/>
    </row>
    <row r="46" spans="1:14" ht="14.4" x14ac:dyDescent="0.3">
      <c r="G46"/>
      <c r="H46"/>
      <c r="I46"/>
      <c r="J46"/>
      <c r="K46"/>
      <c r="L46"/>
      <c r="M46"/>
      <c r="N46"/>
    </row>
    <row r="47" spans="1:14" ht="14.4" x14ac:dyDescent="0.3">
      <c r="G47"/>
      <c r="H47"/>
      <c r="I47"/>
      <c r="J47"/>
      <c r="K47"/>
      <c r="L47"/>
    </row>
    <row r="48" spans="1:14" ht="14.4" x14ac:dyDescent="0.3">
      <c r="G48"/>
      <c r="H48"/>
      <c r="I48"/>
      <c r="J48"/>
      <c r="K48"/>
      <c r="L48"/>
    </row>
    <row r="49" spans="7:12" ht="14.4" x14ac:dyDescent="0.3">
      <c r="G49"/>
      <c r="H49"/>
      <c r="I49"/>
      <c r="J49"/>
      <c r="K49"/>
      <c r="L49"/>
    </row>
    <row r="50" spans="7:12" ht="14.4" x14ac:dyDescent="0.3">
      <c r="G50"/>
      <c r="H50"/>
      <c r="I50"/>
      <c r="J50"/>
      <c r="K50"/>
      <c r="L50"/>
    </row>
    <row r="51" spans="7:12" ht="14.4" x14ac:dyDescent="0.3">
      <c r="G51"/>
      <c r="H51"/>
      <c r="I51"/>
      <c r="J51"/>
      <c r="K51"/>
      <c r="L51"/>
    </row>
    <row r="52" spans="7:12" ht="14.4" x14ac:dyDescent="0.3">
      <c r="G52"/>
      <c r="H52"/>
      <c r="I52"/>
      <c r="J52"/>
      <c r="K52"/>
      <c r="L52"/>
    </row>
    <row r="53" spans="7:12" ht="14.4" x14ac:dyDescent="0.3">
      <c r="G53"/>
      <c r="H53"/>
      <c r="I53"/>
      <c r="J53"/>
      <c r="K53"/>
      <c r="L53"/>
    </row>
    <row r="54" spans="7:12" ht="14.4" x14ac:dyDescent="0.3">
      <c r="G54"/>
      <c r="H54"/>
      <c r="I54"/>
      <c r="J54"/>
      <c r="K54"/>
      <c r="L54"/>
    </row>
    <row r="55" spans="7:12" ht="14.4" x14ac:dyDescent="0.3">
      <c r="G55"/>
      <c r="H55"/>
      <c r="I55"/>
      <c r="J55"/>
      <c r="K55"/>
      <c r="L55"/>
    </row>
    <row r="56" spans="7:12" ht="14.4" x14ac:dyDescent="0.3">
      <c r="G56"/>
      <c r="H56"/>
      <c r="I56"/>
      <c r="J56"/>
      <c r="K56"/>
      <c r="L56"/>
    </row>
    <row r="57" spans="7:12" ht="14.4" x14ac:dyDescent="0.3">
      <c r="G57"/>
      <c r="H57"/>
      <c r="I57"/>
      <c r="J57"/>
      <c r="K57"/>
      <c r="L57"/>
    </row>
    <row r="58" spans="7:12" ht="14.4" x14ac:dyDescent="0.3">
      <c r="G58"/>
      <c r="H58"/>
      <c r="I58"/>
      <c r="J58"/>
      <c r="K58"/>
      <c r="L58"/>
    </row>
    <row r="59" spans="7:12" ht="14.4" x14ac:dyDescent="0.3">
      <c r="G59"/>
      <c r="H59"/>
      <c r="I59"/>
      <c r="J59"/>
      <c r="K59"/>
      <c r="L59"/>
    </row>
    <row r="60" spans="7:12" ht="14.4" x14ac:dyDescent="0.3">
      <c r="G60"/>
      <c r="H60"/>
      <c r="I60"/>
      <c r="J60"/>
      <c r="K60"/>
      <c r="L60"/>
    </row>
    <row r="61" spans="7:12" ht="14.4" x14ac:dyDescent="0.3">
      <c r="G61"/>
      <c r="H61"/>
      <c r="I61"/>
      <c r="J61"/>
      <c r="K61"/>
      <c r="L61"/>
    </row>
    <row r="62" spans="7:12" ht="14.4" x14ac:dyDescent="0.3">
      <c r="G62"/>
      <c r="H62"/>
      <c r="I62"/>
      <c r="J62"/>
      <c r="K62"/>
      <c r="L62"/>
    </row>
    <row r="63" spans="7:12" ht="14.4" x14ac:dyDescent="0.3">
      <c r="G63"/>
      <c r="H63"/>
      <c r="I63"/>
      <c r="J63"/>
      <c r="K63"/>
      <c r="L63"/>
    </row>
    <row r="64" spans="7:12" ht="14.4" x14ac:dyDescent="0.3">
      <c r="G64"/>
      <c r="H64"/>
      <c r="I64"/>
      <c r="J64"/>
      <c r="K64"/>
      <c r="L64"/>
    </row>
    <row r="65" spans="7:12" ht="14.4" x14ac:dyDescent="0.3">
      <c r="G65"/>
      <c r="H65"/>
      <c r="I65"/>
      <c r="J65"/>
      <c r="K65"/>
      <c r="L65"/>
    </row>
    <row r="66" spans="7:12" ht="14.4" x14ac:dyDescent="0.3">
      <c r="G66"/>
      <c r="H66"/>
      <c r="I66"/>
      <c r="J66"/>
      <c r="K66"/>
      <c r="L66"/>
    </row>
  </sheetData>
  <conditionalFormatting sqref="A9:A11">
    <cfRule type="cellIs" dxfId="6" priority="3" stopIfTrue="1" operator="greaterThan">
      <formula>0</formula>
    </cfRule>
  </conditionalFormatting>
  <conditionalFormatting sqref="A9:A11">
    <cfRule type="cellIs" dxfId="5" priority="2" stopIfTrue="1" operator="greaterThan">
      <formula>0</formula>
    </cfRule>
  </conditionalFormatting>
  <conditionalFormatting sqref="A8:A12">
    <cfRule type="expression" dxfId="4" priority="1" stopIfTrue="1">
      <formula>ISNUMBER($A$8:$A$10)</formula>
    </cfRule>
  </conditionalFormatting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BE64-B45C-41F9-9815-63D6C6AF1787}">
  <sheetPr codeName="Hoja17"/>
  <dimension ref="A8:M52"/>
  <sheetViews>
    <sheetView showGridLines="0" zoomScale="85" zoomScaleNormal="85" workbookViewId="0">
      <selection activeCell="N61" sqref="N61"/>
    </sheetView>
  </sheetViews>
  <sheetFormatPr baseColWidth="10" defaultColWidth="11.44140625" defaultRowHeight="13.2" x14ac:dyDescent="0.25"/>
  <cols>
    <col min="1" max="2" width="11.44140625" style="1"/>
    <col min="3" max="3" width="19.109375" style="1" customWidth="1"/>
    <col min="4" max="4" width="13.109375" style="1" bestFit="1" customWidth="1"/>
    <col min="5" max="5" width="12.33203125" style="1" bestFit="1" customWidth="1"/>
    <col min="6" max="6" width="11.44140625" style="1"/>
    <col min="7" max="7" width="16" style="1" bestFit="1" customWidth="1"/>
    <col min="8" max="10" width="11.5546875" style="1" bestFit="1" customWidth="1"/>
    <col min="11" max="11" width="11.6640625" style="1" bestFit="1" customWidth="1"/>
    <col min="12" max="16384" width="11.44140625" style="1"/>
  </cols>
  <sheetData>
    <row r="8" spans="1:5" ht="14.4" x14ac:dyDescent="0.3">
      <c r="A8"/>
    </row>
    <row r="9" spans="1:5" ht="14.4" x14ac:dyDescent="0.3">
      <c r="A9"/>
      <c r="B9" s="2">
        <v>4</v>
      </c>
    </row>
    <row r="10" spans="1:5" ht="14.4" x14ac:dyDescent="0.3">
      <c r="A10"/>
    </row>
    <row r="11" spans="1:5" ht="14.4" x14ac:dyDescent="0.3">
      <c r="A11"/>
    </row>
    <row r="12" spans="1:5" ht="14.4" x14ac:dyDescent="0.3">
      <c r="A12"/>
    </row>
    <row r="14" spans="1:5" ht="18.75" customHeight="1" x14ac:dyDescent="0.25">
      <c r="B14" s="6" t="s">
        <v>5</v>
      </c>
      <c r="C14" s="6" t="s">
        <v>6</v>
      </c>
      <c r="D14" s="6" t="s">
        <v>7</v>
      </c>
      <c r="E14" s="6" t="s">
        <v>8</v>
      </c>
    </row>
    <row r="15" spans="1:5" ht="15.6" x14ac:dyDescent="0.3">
      <c r="B15" s="8" t="s">
        <v>9</v>
      </c>
      <c r="C15" s="8" t="s">
        <v>10</v>
      </c>
      <c r="D15" s="8" t="s">
        <v>1</v>
      </c>
      <c r="E15" s="9">
        <v>11000</v>
      </c>
    </row>
    <row r="16" spans="1:5" ht="15.6" x14ac:dyDescent="0.3">
      <c r="B16" s="8" t="s">
        <v>2</v>
      </c>
      <c r="C16" s="8" t="s">
        <v>11</v>
      </c>
      <c r="D16" s="8" t="s">
        <v>1</v>
      </c>
      <c r="E16" s="9">
        <v>11900</v>
      </c>
    </row>
    <row r="17" spans="1:5" ht="15.6" x14ac:dyDescent="0.3">
      <c r="B17" s="8" t="s">
        <v>9</v>
      </c>
      <c r="C17" s="8" t="s">
        <v>12</v>
      </c>
      <c r="D17" s="8" t="s">
        <v>1</v>
      </c>
      <c r="E17" s="9">
        <v>16400</v>
      </c>
    </row>
    <row r="18" spans="1:5" ht="15.6" x14ac:dyDescent="0.3">
      <c r="B18" s="8" t="s">
        <v>3</v>
      </c>
      <c r="C18" s="8" t="s">
        <v>10</v>
      </c>
      <c r="D18" s="8" t="s">
        <v>13</v>
      </c>
      <c r="E18" s="9">
        <v>17500</v>
      </c>
    </row>
    <row r="19" spans="1:5" ht="15.6" x14ac:dyDescent="0.3">
      <c r="B19" s="8" t="s">
        <v>3</v>
      </c>
      <c r="C19" s="8" t="s">
        <v>10</v>
      </c>
      <c r="D19" s="8" t="s">
        <v>0</v>
      </c>
      <c r="E19" s="9">
        <v>17600</v>
      </c>
    </row>
    <row r="20" spans="1:5" ht="15.6" x14ac:dyDescent="0.3">
      <c r="B20" s="8" t="s">
        <v>4</v>
      </c>
      <c r="C20" s="8" t="s">
        <v>12</v>
      </c>
      <c r="D20" s="8" t="s">
        <v>0</v>
      </c>
      <c r="E20" s="9">
        <v>18200</v>
      </c>
    </row>
    <row r="21" spans="1:5" ht="15.6" x14ac:dyDescent="0.3">
      <c r="B21" s="8" t="s">
        <v>3</v>
      </c>
      <c r="C21" s="8" t="s">
        <v>11</v>
      </c>
      <c r="D21" s="8" t="s">
        <v>13</v>
      </c>
      <c r="E21" s="9">
        <v>18400</v>
      </c>
    </row>
    <row r="22" spans="1:5" ht="15.6" x14ac:dyDescent="0.3">
      <c r="B22" s="8" t="s">
        <v>9</v>
      </c>
      <c r="C22" s="8" t="s">
        <v>12</v>
      </c>
      <c r="D22" s="8" t="s">
        <v>13</v>
      </c>
      <c r="E22" s="9">
        <v>20000</v>
      </c>
    </row>
    <row r="23" spans="1:5" ht="15.6" x14ac:dyDescent="0.3">
      <c r="B23" s="8" t="s">
        <v>4</v>
      </c>
      <c r="C23" s="8" t="s">
        <v>12</v>
      </c>
      <c r="D23" s="8" t="s">
        <v>1</v>
      </c>
      <c r="E23" s="9">
        <v>20100</v>
      </c>
    </row>
    <row r="24" spans="1:5" ht="15.6" x14ac:dyDescent="0.3">
      <c r="B24" s="8" t="s">
        <v>4</v>
      </c>
      <c r="C24" s="8" t="s">
        <v>10</v>
      </c>
      <c r="D24" s="8" t="s">
        <v>1</v>
      </c>
      <c r="E24" s="9">
        <v>21400</v>
      </c>
    </row>
    <row r="25" spans="1:5" ht="15.6" x14ac:dyDescent="0.3">
      <c r="B25" s="8" t="s">
        <v>14</v>
      </c>
      <c r="C25" s="8" t="s">
        <v>11</v>
      </c>
      <c r="D25" s="8" t="s">
        <v>1</v>
      </c>
      <c r="E25" s="9">
        <v>23000</v>
      </c>
    </row>
    <row r="26" spans="1:5" ht="15.6" x14ac:dyDescent="0.3">
      <c r="B26" s="8" t="s">
        <v>4</v>
      </c>
      <c r="C26" s="8" t="s">
        <v>12</v>
      </c>
      <c r="D26" s="8" t="s">
        <v>13</v>
      </c>
      <c r="E26" s="9">
        <v>23400</v>
      </c>
    </row>
    <row r="27" spans="1:5" ht="15.6" x14ac:dyDescent="0.3">
      <c r="B27" s="8" t="s">
        <v>4</v>
      </c>
      <c r="C27" s="8" t="s">
        <v>11</v>
      </c>
      <c r="D27" s="8" t="s">
        <v>0</v>
      </c>
      <c r="E27" s="9">
        <v>24500</v>
      </c>
    </row>
    <row r="28" spans="1:5" ht="15.6" x14ac:dyDescent="0.3">
      <c r="B28" s="8" t="s">
        <v>2</v>
      </c>
      <c r="C28" s="8" t="s">
        <v>11</v>
      </c>
      <c r="D28" s="8" t="s">
        <v>0</v>
      </c>
      <c r="E28" s="9">
        <v>25500</v>
      </c>
    </row>
    <row r="29" spans="1:5" ht="15.6" x14ac:dyDescent="0.3">
      <c r="B29" s="8" t="s">
        <v>15</v>
      </c>
      <c r="C29" s="8" t="s">
        <v>10</v>
      </c>
      <c r="D29" s="8" t="s">
        <v>0</v>
      </c>
      <c r="E29" s="9">
        <v>30000</v>
      </c>
    </row>
    <row r="30" spans="1:5" ht="15.6" x14ac:dyDescent="0.3">
      <c r="A30" s="3"/>
      <c r="B30" s="8" t="s">
        <v>2</v>
      </c>
      <c r="C30" s="8" t="s">
        <v>10</v>
      </c>
      <c r="D30" s="8" t="s">
        <v>1</v>
      </c>
      <c r="E30" s="9">
        <v>30600</v>
      </c>
    </row>
    <row r="31" spans="1:5" ht="15.6" x14ac:dyDescent="0.3">
      <c r="A31" s="3"/>
      <c r="B31" s="8" t="s">
        <v>3</v>
      </c>
      <c r="C31" s="8" t="s">
        <v>12</v>
      </c>
      <c r="D31" s="8" t="s">
        <v>13</v>
      </c>
      <c r="E31" s="9">
        <v>34600</v>
      </c>
    </row>
    <row r="32" spans="1:5" ht="15.6" x14ac:dyDescent="0.3">
      <c r="A32" s="3"/>
      <c r="B32" s="8" t="s">
        <v>3</v>
      </c>
      <c r="C32" s="8" t="s">
        <v>12</v>
      </c>
      <c r="D32" s="8" t="s">
        <v>13</v>
      </c>
      <c r="E32" s="9">
        <v>35000</v>
      </c>
    </row>
    <row r="33" spans="1:13" ht="15.6" x14ac:dyDescent="0.3">
      <c r="A33" s="3"/>
      <c r="B33" s="8" t="s">
        <v>2</v>
      </c>
      <c r="C33" s="8" t="s">
        <v>10</v>
      </c>
      <c r="D33" s="8" t="s">
        <v>0</v>
      </c>
      <c r="E33" s="9">
        <v>37400</v>
      </c>
    </row>
    <row r="37" spans="1:13" ht="14.4" x14ac:dyDescent="0.3">
      <c r="G37" s="89" t="s">
        <v>5</v>
      </c>
      <c r="H37" s="90" t="s">
        <v>517</v>
      </c>
    </row>
    <row r="39" spans="1:13" ht="14.4" x14ac:dyDescent="0.3">
      <c r="G39" s="84" t="s">
        <v>518</v>
      </c>
      <c r="H39" s="84" t="s">
        <v>7</v>
      </c>
      <c r="I39" s="82"/>
      <c r="J39" s="82"/>
      <c r="K39" s="83"/>
      <c r="L39"/>
      <c r="M39"/>
    </row>
    <row r="40" spans="1:13" ht="14.4" x14ac:dyDescent="0.3">
      <c r="G40" s="84" t="s">
        <v>6</v>
      </c>
      <c r="H40" s="81" t="s">
        <v>0</v>
      </c>
      <c r="I40" s="87" t="s">
        <v>1</v>
      </c>
      <c r="J40" s="87" t="s">
        <v>13</v>
      </c>
      <c r="K40" s="88" t="s">
        <v>516</v>
      </c>
      <c r="L40"/>
      <c r="M40"/>
    </row>
    <row r="41" spans="1:13" ht="14.4" x14ac:dyDescent="0.3">
      <c r="G41" s="81" t="s">
        <v>10</v>
      </c>
      <c r="H41" s="96">
        <v>85000</v>
      </c>
      <c r="I41" s="97">
        <v>63000</v>
      </c>
      <c r="J41" s="97">
        <v>17500</v>
      </c>
      <c r="K41" s="94">
        <v>165500</v>
      </c>
      <c r="L41"/>
      <c r="M41"/>
    </row>
    <row r="42" spans="1:13" ht="14.4" x14ac:dyDescent="0.3">
      <c r="G42" s="85" t="s">
        <v>11</v>
      </c>
      <c r="H42" s="98">
        <v>50000</v>
      </c>
      <c r="I42" s="99">
        <v>34900</v>
      </c>
      <c r="J42" s="99">
        <v>18400</v>
      </c>
      <c r="K42" s="95">
        <v>103300</v>
      </c>
      <c r="L42"/>
      <c r="M42"/>
    </row>
    <row r="43" spans="1:13" ht="14.4" x14ac:dyDescent="0.3">
      <c r="G43" s="85" t="s">
        <v>12</v>
      </c>
      <c r="H43" s="98">
        <v>18200</v>
      </c>
      <c r="I43" s="99">
        <v>36500</v>
      </c>
      <c r="J43" s="99">
        <v>113000</v>
      </c>
      <c r="K43" s="95">
        <v>167700</v>
      </c>
      <c r="L43"/>
      <c r="M43"/>
    </row>
    <row r="44" spans="1:13" ht="14.4" x14ac:dyDescent="0.3">
      <c r="G44" s="86" t="s">
        <v>516</v>
      </c>
      <c r="H44" s="100">
        <v>153200</v>
      </c>
      <c r="I44" s="101">
        <v>134400</v>
      </c>
      <c r="J44" s="101">
        <v>148900</v>
      </c>
      <c r="K44" s="93">
        <v>436500</v>
      </c>
      <c r="L44"/>
      <c r="M44"/>
    </row>
    <row r="45" spans="1:13" ht="14.4" x14ac:dyDescent="0.3">
      <c r="G45"/>
      <c r="H45"/>
      <c r="I45"/>
      <c r="J45"/>
      <c r="K45"/>
      <c r="L45"/>
      <c r="M45"/>
    </row>
    <row r="46" spans="1:13" ht="14.4" x14ac:dyDescent="0.3">
      <c r="G46"/>
      <c r="H46"/>
      <c r="I46"/>
      <c r="J46"/>
      <c r="K46"/>
      <c r="L46"/>
      <c r="M46"/>
    </row>
    <row r="47" spans="1:13" ht="14.4" x14ac:dyDescent="0.3">
      <c r="G47"/>
      <c r="H47"/>
      <c r="I47"/>
      <c r="J47"/>
      <c r="K47"/>
      <c r="L47"/>
      <c r="M47"/>
    </row>
    <row r="48" spans="1:13" ht="14.4" x14ac:dyDescent="0.3">
      <c r="G48"/>
      <c r="H48"/>
      <c r="I48"/>
      <c r="J48"/>
      <c r="K48"/>
      <c r="L48"/>
      <c r="M48"/>
    </row>
    <row r="49" spans="7:13" ht="14.4" x14ac:dyDescent="0.3">
      <c r="G49"/>
      <c r="H49"/>
      <c r="I49"/>
      <c r="J49"/>
      <c r="K49"/>
      <c r="L49"/>
      <c r="M49"/>
    </row>
    <row r="50" spans="7:13" ht="14.4" x14ac:dyDescent="0.3">
      <c r="G50"/>
      <c r="H50"/>
      <c r="I50"/>
      <c r="J50"/>
      <c r="K50"/>
      <c r="L50"/>
      <c r="M50"/>
    </row>
    <row r="51" spans="7:13" ht="14.4" x14ac:dyDescent="0.3">
      <c r="G51"/>
      <c r="H51"/>
      <c r="I51"/>
      <c r="J51"/>
      <c r="K51"/>
      <c r="L51"/>
      <c r="M51"/>
    </row>
    <row r="52" spans="7:13" ht="14.4" x14ac:dyDescent="0.3">
      <c r="G52"/>
      <c r="H52"/>
      <c r="I52"/>
      <c r="J52"/>
      <c r="K52"/>
      <c r="L52"/>
      <c r="M52"/>
    </row>
  </sheetData>
  <conditionalFormatting sqref="A9:A11">
    <cfRule type="cellIs" dxfId="3" priority="4" stopIfTrue="1" operator="greaterThan">
      <formula>0</formula>
    </cfRule>
  </conditionalFormatting>
  <conditionalFormatting sqref="A9:A11">
    <cfRule type="cellIs" dxfId="2" priority="3" stopIfTrue="1" operator="greaterThan">
      <formula>0</formula>
    </cfRule>
  </conditionalFormatting>
  <conditionalFormatting sqref="A9:A11">
    <cfRule type="cellIs" dxfId="1" priority="2" stopIfTrue="1" operator="greaterThan">
      <formula>0</formula>
    </cfRule>
  </conditionalFormatting>
  <conditionalFormatting sqref="A8:A12">
    <cfRule type="expression" dxfId="0" priority="1" stopIfTrue="1">
      <formula>ISNUMBER($A$8:$A$10)</formula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289E5-5341-4AF9-B757-6B1172AE2ADE}">
  <sheetPr codeName="Hoja5"/>
  <dimension ref="B17:G40"/>
  <sheetViews>
    <sheetView showGridLines="0" tabSelected="1" zoomScale="115" zoomScaleNormal="115" workbookViewId="0">
      <selection activeCell="G40" sqref="B19:G40"/>
    </sheetView>
  </sheetViews>
  <sheetFormatPr baseColWidth="10" defaultRowHeight="14.4" x14ac:dyDescent="0.3"/>
  <cols>
    <col min="3" max="3" width="17.6640625" customWidth="1"/>
    <col min="4" max="4" width="23.33203125" customWidth="1"/>
    <col min="5" max="9" width="17" customWidth="1"/>
  </cols>
  <sheetData>
    <row r="17" spans="2:7" ht="15" thickBot="1" x14ac:dyDescent="0.35"/>
    <row r="18" spans="2:7" ht="23.25" customHeight="1" x14ac:dyDescent="0.3">
      <c r="B18" s="122" t="s">
        <v>20</v>
      </c>
      <c r="C18" s="123" t="s">
        <v>21</v>
      </c>
      <c r="D18" s="123" t="s">
        <v>22</v>
      </c>
      <c r="E18" s="124" t="s">
        <v>23</v>
      </c>
      <c r="F18" s="123" t="s">
        <v>24</v>
      </c>
      <c r="G18" s="125" t="s">
        <v>25</v>
      </c>
    </row>
    <row r="19" spans="2:7" x14ac:dyDescent="0.3">
      <c r="B19" s="121">
        <v>1</v>
      </c>
      <c r="C19" s="120" t="s">
        <v>26</v>
      </c>
      <c r="D19" s="120" t="s">
        <v>531</v>
      </c>
      <c r="E19" s="116">
        <v>6325487</v>
      </c>
      <c r="F19" s="118" t="s">
        <v>27</v>
      </c>
      <c r="G19" s="117" t="s">
        <v>27</v>
      </c>
    </row>
    <row r="20" spans="2:7" x14ac:dyDescent="0.3">
      <c r="B20" s="126">
        <v>2</v>
      </c>
      <c r="C20" s="127" t="s">
        <v>28</v>
      </c>
      <c r="D20" s="127" t="s">
        <v>532</v>
      </c>
      <c r="E20" s="128" t="s">
        <v>530</v>
      </c>
      <c r="F20" s="129" t="s">
        <v>29</v>
      </c>
      <c r="G20" s="130" t="s">
        <v>30</v>
      </c>
    </row>
    <row r="21" spans="2:7" x14ac:dyDescent="0.3">
      <c r="B21" s="121">
        <v>3</v>
      </c>
      <c r="C21" s="120" t="s">
        <v>31</v>
      </c>
      <c r="D21" s="120" t="s">
        <v>533</v>
      </c>
      <c r="E21" s="116">
        <v>2569845</v>
      </c>
      <c r="F21" s="118" t="s">
        <v>32</v>
      </c>
      <c r="G21" s="117" t="s">
        <v>33</v>
      </c>
    </row>
    <row r="22" spans="2:7" x14ac:dyDescent="0.3">
      <c r="B22" s="126">
        <v>4</v>
      </c>
      <c r="C22" s="127" t="s">
        <v>34</v>
      </c>
      <c r="D22" s="127" t="s">
        <v>534</v>
      </c>
      <c r="E22" s="131">
        <v>2456973</v>
      </c>
      <c r="F22" s="132" t="s">
        <v>530</v>
      </c>
      <c r="G22" s="130" t="s">
        <v>27</v>
      </c>
    </row>
    <row r="23" spans="2:7" x14ac:dyDescent="0.3">
      <c r="B23" s="121">
        <v>5</v>
      </c>
      <c r="C23" s="120" t="s">
        <v>35</v>
      </c>
      <c r="D23" s="120" t="s">
        <v>535</v>
      </c>
      <c r="E23" s="119" t="s">
        <v>530</v>
      </c>
      <c r="F23" s="118" t="s">
        <v>27</v>
      </c>
      <c r="G23" s="117" t="s">
        <v>27</v>
      </c>
    </row>
    <row r="24" spans="2:7" x14ac:dyDescent="0.3">
      <c r="B24" s="126">
        <v>6</v>
      </c>
      <c r="C24" s="127" t="s">
        <v>536</v>
      </c>
      <c r="D24" s="127" t="s">
        <v>537</v>
      </c>
      <c r="E24" s="128" t="s">
        <v>530</v>
      </c>
      <c r="F24" s="129" t="s">
        <v>29</v>
      </c>
      <c r="G24" s="130" t="s">
        <v>36</v>
      </c>
    </row>
    <row r="25" spans="2:7" x14ac:dyDescent="0.3">
      <c r="B25" s="121">
        <v>7</v>
      </c>
      <c r="C25" s="120" t="s">
        <v>538</v>
      </c>
      <c r="D25" s="120" t="s">
        <v>539</v>
      </c>
      <c r="E25" s="119" t="s">
        <v>530</v>
      </c>
      <c r="F25" s="115" t="s">
        <v>530</v>
      </c>
      <c r="G25" s="117" t="s">
        <v>30</v>
      </c>
    </row>
    <row r="26" spans="2:7" x14ac:dyDescent="0.3">
      <c r="B26" s="126">
        <v>8</v>
      </c>
      <c r="C26" s="127" t="s">
        <v>37</v>
      </c>
      <c r="D26" s="127" t="s">
        <v>540</v>
      </c>
      <c r="E26" s="128" t="s">
        <v>530</v>
      </c>
      <c r="F26" s="129" t="s">
        <v>38</v>
      </c>
      <c r="G26" s="130" t="s">
        <v>32</v>
      </c>
    </row>
    <row r="27" spans="2:7" x14ac:dyDescent="0.3">
      <c r="B27" s="121">
        <v>9</v>
      </c>
      <c r="C27" s="120" t="s">
        <v>541</v>
      </c>
      <c r="D27" s="120" t="s">
        <v>542</v>
      </c>
      <c r="E27" s="119" t="s">
        <v>530</v>
      </c>
      <c r="F27" s="115" t="s">
        <v>530</v>
      </c>
      <c r="G27" s="117" t="s">
        <v>27</v>
      </c>
    </row>
    <row r="28" spans="2:7" x14ac:dyDescent="0.3">
      <c r="B28" s="126">
        <v>10</v>
      </c>
      <c r="C28" s="127" t="s">
        <v>28</v>
      </c>
      <c r="D28" s="127" t="s">
        <v>543</v>
      </c>
      <c r="E28" s="128" t="s">
        <v>530</v>
      </c>
      <c r="F28" s="129" t="s">
        <v>38</v>
      </c>
      <c r="G28" s="130" t="s">
        <v>33</v>
      </c>
    </row>
    <row r="29" spans="2:7" x14ac:dyDescent="0.3">
      <c r="B29" s="121">
        <v>11</v>
      </c>
      <c r="C29" s="120" t="s">
        <v>544</v>
      </c>
      <c r="D29" s="120" t="s">
        <v>545</v>
      </c>
      <c r="E29" s="116">
        <v>4523658</v>
      </c>
      <c r="F29" s="118" t="s">
        <v>29</v>
      </c>
      <c r="G29" s="117" t="s">
        <v>27</v>
      </c>
    </row>
    <row r="30" spans="2:7" x14ac:dyDescent="0.3">
      <c r="B30" s="126">
        <v>12</v>
      </c>
      <c r="C30" s="127" t="s">
        <v>39</v>
      </c>
      <c r="D30" s="127" t="s">
        <v>546</v>
      </c>
      <c r="E30" s="128" t="s">
        <v>530</v>
      </c>
      <c r="F30" s="129" t="s">
        <v>27</v>
      </c>
      <c r="G30" s="130" t="s">
        <v>30</v>
      </c>
    </row>
    <row r="31" spans="2:7" x14ac:dyDescent="0.3">
      <c r="B31" s="121">
        <v>13</v>
      </c>
      <c r="C31" s="120" t="s">
        <v>547</v>
      </c>
      <c r="D31" s="120" t="s">
        <v>548</v>
      </c>
      <c r="E31" s="116">
        <v>6523987</v>
      </c>
      <c r="F31" s="118" t="s">
        <v>40</v>
      </c>
      <c r="G31" s="117" t="s">
        <v>27</v>
      </c>
    </row>
    <row r="32" spans="2:7" x14ac:dyDescent="0.3">
      <c r="B32" s="126">
        <v>14</v>
      </c>
      <c r="C32" s="127" t="s">
        <v>41</v>
      </c>
      <c r="D32" s="127" t="s">
        <v>549</v>
      </c>
      <c r="E32" s="128" t="s">
        <v>530</v>
      </c>
      <c r="F32" s="129" t="s">
        <v>38</v>
      </c>
      <c r="G32" s="130" t="s">
        <v>29</v>
      </c>
    </row>
    <row r="33" spans="2:7" x14ac:dyDescent="0.3">
      <c r="B33" s="121">
        <v>15</v>
      </c>
      <c r="C33" s="120" t="s">
        <v>42</v>
      </c>
      <c r="D33" s="120" t="s">
        <v>550</v>
      </c>
      <c r="E33" s="119" t="s">
        <v>530</v>
      </c>
      <c r="F33" s="115" t="s">
        <v>530</v>
      </c>
      <c r="G33" s="117" t="s">
        <v>30</v>
      </c>
    </row>
    <row r="34" spans="2:7" x14ac:dyDescent="0.3">
      <c r="B34" s="126">
        <v>16</v>
      </c>
      <c r="C34" s="127" t="s">
        <v>43</v>
      </c>
      <c r="D34" s="127" t="s">
        <v>551</v>
      </c>
      <c r="E34" s="128" t="s">
        <v>530</v>
      </c>
      <c r="F34" s="132" t="s">
        <v>530</v>
      </c>
      <c r="G34" s="130" t="s">
        <v>29</v>
      </c>
    </row>
    <row r="35" spans="2:7" x14ac:dyDescent="0.3">
      <c r="B35" s="121">
        <v>17</v>
      </c>
      <c r="C35" s="120" t="s">
        <v>552</v>
      </c>
      <c r="D35" s="120" t="s">
        <v>553</v>
      </c>
      <c r="E35" s="116">
        <v>2453695</v>
      </c>
      <c r="F35" s="118" t="s">
        <v>27</v>
      </c>
      <c r="G35" s="117" t="s">
        <v>27</v>
      </c>
    </row>
    <row r="36" spans="2:7" x14ac:dyDescent="0.3">
      <c r="B36" s="126">
        <v>18</v>
      </c>
      <c r="C36" s="127" t="s">
        <v>44</v>
      </c>
      <c r="D36" s="127" t="s">
        <v>554</v>
      </c>
      <c r="E36" s="128" t="s">
        <v>530</v>
      </c>
      <c r="F36" s="129" t="s">
        <v>29</v>
      </c>
      <c r="G36" s="130" t="s">
        <v>29</v>
      </c>
    </row>
    <row r="37" spans="2:7" x14ac:dyDescent="0.3">
      <c r="B37" s="121">
        <v>19</v>
      </c>
      <c r="C37" s="120" t="s">
        <v>555</v>
      </c>
      <c r="D37" s="120" t="s">
        <v>556</v>
      </c>
      <c r="E37" s="119" t="s">
        <v>530</v>
      </c>
      <c r="F37" s="115" t="s">
        <v>530</v>
      </c>
      <c r="G37" s="117" t="s">
        <v>32</v>
      </c>
    </row>
    <row r="38" spans="2:7" x14ac:dyDescent="0.3">
      <c r="B38" s="126">
        <v>20</v>
      </c>
      <c r="C38" s="127" t="s">
        <v>557</v>
      </c>
      <c r="D38" s="127" t="s">
        <v>558</v>
      </c>
      <c r="E38" s="131">
        <v>3658623</v>
      </c>
      <c r="F38" s="129" t="s">
        <v>38</v>
      </c>
      <c r="G38" s="130" t="s">
        <v>27</v>
      </c>
    </row>
    <row r="39" spans="2:7" x14ac:dyDescent="0.3">
      <c r="B39" s="121">
        <v>21</v>
      </c>
      <c r="C39" s="120" t="s">
        <v>45</v>
      </c>
      <c r="D39" s="120" t="s">
        <v>559</v>
      </c>
      <c r="E39" s="119" t="s">
        <v>530</v>
      </c>
      <c r="F39" s="118" t="s">
        <v>27</v>
      </c>
      <c r="G39" s="117" t="s">
        <v>32</v>
      </c>
    </row>
    <row r="40" spans="2:7" ht="15" thickBot="1" x14ac:dyDescent="0.35">
      <c r="B40" s="133">
        <v>22</v>
      </c>
      <c r="C40" s="134" t="s">
        <v>46</v>
      </c>
      <c r="D40" s="134" t="s">
        <v>560</v>
      </c>
      <c r="E40" s="135" t="s">
        <v>530</v>
      </c>
      <c r="F40" s="136" t="s">
        <v>29</v>
      </c>
      <c r="G40" s="137" t="s">
        <v>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Rango">
                <anchor moveWithCells="1" sizeWithCells="1">
                  <from>
                    <xdr:col>7</xdr:col>
                    <xdr:colOff>693420</xdr:colOff>
                    <xdr:row>17</xdr:row>
                    <xdr:rowOff>22860</xdr:rowOff>
                  </from>
                  <to>
                    <xdr:col>8</xdr:col>
                    <xdr:colOff>1074420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impiar">
                <anchor moveWithCells="1" sizeWithCells="1">
                  <from>
                    <xdr:col>9</xdr:col>
                    <xdr:colOff>350520</xdr:colOff>
                    <xdr:row>17</xdr:row>
                    <xdr:rowOff>7620</xdr:rowOff>
                  </from>
                  <to>
                    <xdr:col>11</xdr:col>
                    <xdr:colOff>76200</xdr:colOff>
                    <xdr:row>18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06C33-A385-431C-A388-478A242A927F}">
  <sheetPr codeName="Hoja1"/>
  <dimension ref="B10:M19"/>
  <sheetViews>
    <sheetView showGridLines="0" zoomScale="85" zoomScaleNormal="85" workbookViewId="0">
      <selection activeCell="O10" sqref="O10"/>
    </sheetView>
  </sheetViews>
  <sheetFormatPr baseColWidth="10" defaultColWidth="11.44140625" defaultRowHeight="14.4" x14ac:dyDescent="0.3"/>
  <cols>
    <col min="2" max="2" width="13.6640625" customWidth="1"/>
    <col min="3" max="3" width="21" customWidth="1"/>
    <col min="8" max="8" width="13.44140625" customWidth="1"/>
    <col min="9" max="9" width="17.44140625" customWidth="1"/>
    <col min="10" max="10" width="19.44140625" customWidth="1"/>
    <col min="11" max="11" width="15" customWidth="1"/>
  </cols>
  <sheetData>
    <row r="10" spans="13:13" ht="15.6" x14ac:dyDescent="0.3">
      <c r="M10" s="16" t="s">
        <v>57</v>
      </c>
    </row>
    <row r="11" spans="13:13" x14ac:dyDescent="0.3">
      <c r="M11" s="11" t="s">
        <v>58</v>
      </c>
    </row>
    <row r="12" spans="13:13" x14ac:dyDescent="0.3">
      <c r="M12" s="11" t="s">
        <v>59</v>
      </c>
    </row>
    <row r="13" spans="13:13" x14ac:dyDescent="0.3">
      <c r="M13" s="11" t="s">
        <v>60</v>
      </c>
    </row>
    <row r="14" spans="13:13" x14ac:dyDescent="0.3">
      <c r="M14" s="11" t="s">
        <v>61</v>
      </c>
    </row>
    <row r="15" spans="13:13" x14ac:dyDescent="0.3">
      <c r="M15" s="11" t="s">
        <v>62</v>
      </c>
    </row>
    <row r="16" spans="13:13" x14ac:dyDescent="0.3">
      <c r="M16" s="10"/>
    </row>
    <row r="18" spans="2:11" x14ac:dyDescent="0.3">
      <c r="B18" s="12" t="s">
        <v>47</v>
      </c>
      <c r="C18" s="12" t="s">
        <v>48</v>
      </c>
      <c r="D18" s="12" t="s">
        <v>49</v>
      </c>
      <c r="E18" s="12" t="s">
        <v>50</v>
      </c>
      <c r="F18" s="12" t="s">
        <v>51</v>
      </c>
      <c r="G18" s="12" t="s">
        <v>52</v>
      </c>
      <c r="H18" s="12" t="s">
        <v>53</v>
      </c>
      <c r="I18" s="13" t="s">
        <v>54</v>
      </c>
      <c r="J18" s="13" t="s">
        <v>55</v>
      </c>
      <c r="K18" s="13" t="s">
        <v>56</v>
      </c>
    </row>
    <row r="19" spans="2:11" x14ac:dyDescent="0.3">
      <c r="B19" s="14"/>
      <c r="C19" s="14"/>
      <c r="D19" s="14"/>
      <c r="E19" s="14"/>
      <c r="F19" s="14"/>
      <c r="G19" s="14"/>
      <c r="H19" s="14"/>
      <c r="I19" s="15"/>
      <c r="J19" s="15"/>
      <c r="K19" s="1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Selección de Preguntas</vt:lpstr>
      <vt:lpstr>INICIO</vt:lpstr>
      <vt:lpstr>FÓRMULAS</vt:lpstr>
      <vt:lpstr>INMOVILIZA PANELES</vt:lpstr>
      <vt:lpstr>FORMATO CONDICIONAL</vt:lpstr>
      <vt:lpstr>FILTRO</vt:lpstr>
      <vt:lpstr>BUSCARV</vt:lpstr>
      <vt:lpstr>TABLA DINÁMICA 1</vt:lpstr>
      <vt:lpstr>TABLA DINÁMICA 2</vt:lpstr>
      <vt:lpstr>MACROS</vt:lpstr>
      <vt:lpstr>MACROS Y FORMULARIO</vt:lpstr>
      <vt:lpstr>'INMOVILIZA PANELES'!Área_de_extracción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MANPOWERGROUP</dc:creator>
  <cp:lastModifiedBy>Raul Marcelo Armas Benavides</cp:lastModifiedBy>
  <dcterms:created xsi:type="dcterms:W3CDTF">2011-12-10T11:16:56Z</dcterms:created>
  <dcterms:modified xsi:type="dcterms:W3CDTF">2025-01-28T04:30:31Z</dcterms:modified>
</cp:coreProperties>
</file>