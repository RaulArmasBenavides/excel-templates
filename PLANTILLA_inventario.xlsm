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LO\Documents\Documentos\"/>
    </mc:Choice>
  </mc:AlternateContent>
  <xr:revisionPtr revIDLastSave="0" documentId="13_ncr:1_{05C0712A-E78D-4856-9805-C65A35F6A06C}" xr6:coauthVersionLast="46" xr6:coauthVersionMax="46" xr10:uidLastSave="{00000000-0000-0000-0000-000000000000}"/>
  <bookViews>
    <workbookView xWindow="-120" yWindow="-120" windowWidth="20730" windowHeight="11160" activeTab="1" xr2:uid="{00000000-000D-0000-FFFF-FFFF00000000}"/>
  </bookViews>
  <sheets>
    <sheet name="Hoja1" sheetId="1" r:id="rId1"/>
    <sheet name="CÁLCULO DE FACTOR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2" l="1"/>
  <c r="C35" i="1"/>
  <c r="C22" i="1"/>
  <c r="C26" i="1" s="1"/>
  <c r="C50" i="1"/>
  <c r="C40" i="1"/>
  <c r="C12" i="1"/>
  <c r="C13" i="1" s="1"/>
  <c r="C28" i="1" s="1"/>
  <c r="E28" i="1" s="1"/>
  <c r="C30" i="1" s="1"/>
  <c r="E30" i="1" s="1"/>
</calcChain>
</file>

<file path=xl/sharedStrings.xml><?xml version="1.0" encoding="utf-8"?>
<sst xmlns="http://schemas.openxmlformats.org/spreadsheetml/2006/main" count="59" uniqueCount="47">
  <si>
    <r>
      <t xml:space="preserve">Un producto tiene una demanda anual de 5 mil unidades con una desviación estándar de 30 unidades y además se cuenta con la siguiente información: el costo de reposición es de $40, el costo de mantenimiento unitario en el almacén es de </t>
    </r>
    <r>
      <rPr>
        <b/>
        <sz val="10"/>
        <color theme="1"/>
        <rFont val="Segoe UI"/>
        <family val="2"/>
      </rPr>
      <t>$5.50</t>
    </r>
    <r>
      <rPr>
        <sz val="10"/>
        <color theme="1"/>
        <rFont val="Segoe UI"/>
        <family val="2"/>
      </rPr>
      <t>, el tiempo de reposición es de un mes y z=2.</t>
    </r>
  </si>
  <si>
    <t>D</t>
  </si>
  <si>
    <t>H</t>
  </si>
  <si>
    <t>S</t>
  </si>
  <si>
    <t>DEMANDA</t>
  </si>
  <si>
    <t>COSTO DE RESPOSICIÓN</t>
  </si>
  <si>
    <t>costo de mantenimiento unitario en el almacén</t>
  </si>
  <si>
    <t>UNIDADES</t>
  </si>
  <si>
    <t>$</t>
  </si>
  <si>
    <t>Q</t>
  </si>
  <si>
    <r>
      <t>a)</t>
    </r>
    <r>
      <rPr>
        <b/>
        <sz val="7"/>
        <color theme="1"/>
        <rFont val="Times New Roman"/>
        <family val="1"/>
      </rPr>
      <t xml:space="preserve">     </t>
    </r>
    <r>
      <rPr>
        <b/>
        <sz val="10"/>
        <color theme="1"/>
        <rFont val="Segoe UI"/>
        <family val="2"/>
      </rPr>
      <t>El  lote óptimo.</t>
    </r>
  </si>
  <si>
    <r>
      <t>c)</t>
    </r>
    <r>
      <rPr>
        <b/>
        <sz val="7"/>
        <color theme="1"/>
        <rFont val="Times New Roman"/>
        <family val="1"/>
      </rPr>
      <t> </t>
    </r>
    <r>
      <rPr>
        <b/>
        <sz val="10"/>
        <color theme="1"/>
        <rFont val="Segoe UI"/>
        <family val="2"/>
      </rPr>
      <t>Costo total por planificar el inventario</t>
    </r>
  </si>
  <si>
    <t>descuento</t>
  </si>
  <si>
    <r>
      <t>d)</t>
    </r>
    <r>
      <rPr>
        <b/>
        <sz val="7"/>
        <color theme="1"/>
        <rFont val="Times New Roman"/>
        <family val="1"/>
      </rPr>
      <t xml:space="preserve"> </t>
    </r>
    <r>
      <rPr>
        <b/>
        <sz val="10"/>
        <color theme="1"/>
        <rFont val="Segoe UI"/>
        <family val="2"/>
      </rPr>
      <t>Descuento del 20%</t>
    </r>
  </si>
  <si>
    <t>CT=</t>
  </si>
  <si>
    <t>Se tomará el menor valor =</t>
  </si>
  <si>
    <t>unds</t>
  </si>
  <si>
    <t>DATOS</t>
  </si>
  <si>
    <t>meses</t>
  </si>
  <si>
    <t>Como el costo con descuento es menor que el costo normal es conveniente tomar esta oferta.</t>
  </si>
  <si>
    <t>b)Ahora hallamos el nivel de reposición (NR) o Punto de  reorden  y tiempo entre pedidos</t>
  </si>
  <si>
    <t>(Factor de seguridad de stock)</t>
  </si>
  <si>
    <t>SS=</t>
  </si>
  <si>
    <t>Z</t>
  </si>
  <si>
    <t>desviacion st</t>
  </si>
  <si>
    <t>P</t>
  </si>
  <si>
    <t># pedidos</t>
  </si>
  <si>
    <t xml:space="preserve">tiempo entre pedidos </t>
  </si>
  <si>
    <t xml:space="preserve">N° pedidos </t>
  </si>
  <si>
    <t xml:space="preserve"> </t>
  </si>
  <si>
    <t>mes/pedido</t>
  </si>
  <si>
    <t xml:space="preserve">pedidos </t>
  </si>
  <si>
    <t xml:space="preserve">unidades </t>
  </si>
  <si>
    <t>CT =</t>
  </si>
  <si>
    <t>SÍMBOLO</t>
  </si>
  <si>
    <t>VALOR</t>
  </si>
  <si>
    <t>MESES</t>
  </si>
  <si>
    <t>K</t>
  </si>
  <si>
    <t>C</t>
  </si>
  <si>
    <t>Costo de adquisición entregado</t>
  </si>
  <si>
    <t>Porcentaje anual del costo de mantenimiento</t>
  </si>
  <si>
    <t>LOTE ÓPTIMO</t>
  </si>
  <si>
    <t>M</t>
  </si>
  <si>
    <t>NIVEL DE REPOSICIÓN</t>
  </si>
  <si>
    <t>FACTOR DE SEGURIDAD</t>
  </si>
  <si>
    <t>COSTO TOTAL A PLANIFICAR</t>
  </si>
  <si>
    <t>¿Existe descuento por parte del proveedor?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</si>
</sst>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b/>
      <sz val="7"/>
      <color theme="1"/>
      <name val="Times New Roman"/>
      <family val="1"/>
    </font>
    <font>
      <sz val="10"/>
      <color theme="0"/>
      <name val="Segoe U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vertical="center"/>
    </xf>
    <xf numFmtId="0" fontId="0" fillId="2" borderId="0" xfId="0" applyFill="1"/>
    <xf numFmtId="0" fontId="0" fillId="0" borderId="1" xfId="0" applyBorder="1"/>
    <xf numFmtId="0" fontId="1" fillId="3" borderId="2" xfId="0" applyFont="1" applyFill="1" applyBorder="1"/>
    <xf numFmtId="0" fontId="5" fillId="3" borderId="2" xfId="0" applyFont="1" applyFill="1" applyBorder="1"/>
    <xf numFmtId="0" fontId="1" fillId="3" borderId="1" xfId="0" applyFont="1" applyFill="1" applyBorder="1"/>
    <xf numFmtId="0" fontId="0" fillId="0" borderId="1" xfId="0" applyFill="1" applyBorder="1"/>
    <xf numFmtId="2" fontId="0" fillId="0" borderId="0" xfId="0" applyNumberFormat="1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469447</xdr:colOff>
      <xdr:row>5</xdr:row>
      <xdr:rowOff>68035</xdr:rowOff>
    </xdr:from>
    <xdr:to>
      <xdr:col>35</xdr:col>
      <xdr:colOff>2</xdr:colOff>
      <xdr:row>24</xdr:row>
      <xdr:rowOff>197207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4382" t="25394" r="39034" b="59630"/>
        <a:stretch/>
      </xdr:blipFill>
      <xdr:spPr>
        <a:xfrm>
          <a:off x="13940518" y="830035"/>
          <a:ext cx="7490733" cy="3786188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12</xdr:row>
      <xdr:rowOff>0</xdr:rowOff>
    </xdr:from>
    <xdr:to>
      <xdr:col>1</xdr:col>
      <xdr:colOff>95250</xdr:colOff>
      <xdr:row>13</xdr:row>
      <xdr:rowOff>133350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657475"/>
          <a:ext cx="95250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806823</xdr:colOff>
      <xdr:row>44</xdr:row>
      <xdr:rowOff>78441</xdr:rowOff>
    </xdr:from>
    <xdr:to>
      <xdr:col>3</xdr:col>
      <xdr:colOff>576543</xdr:colOff>
      <xdr:row>46</xdr:row>
      <xdr:rowOff>164166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1941" y="6768353"/>
          <a:ext cx="3153896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601195</xdr:colOff>
      <xdr:row>18</xdr:row>
      <xdr:rowOff>135031</xdr:rowOff>
    </xdr:from>
    <xdr:to>
      <xdr:col>2</xdr:col>
      <xdr:colOff>1733550</xdr:colOff>
      <xdr:row>21</xdr:row>
      <xdr:rowOff>9525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245" y="3592606"/>
          <a:ext cx="1132355" cy="4459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1000125</xdr:colOff>
      <xdr:row>22</xdr:row>
      <xdr:rowOff>142875</xdr:rowOff>
    </xdr:from>
    <xdr:to>
      <xdr:col>2</xdr:col>
      <xdr:colOff>2076450</xdr:colOff>
      <xdr:row>25</xdr:row>
      <xdr:rowOff>142875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4175" y="4362450"/>
          <a:ext cx="1076325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381000</xdr:colOff>
      <xdr:row>31</xdr:row>
      <xdr:rowOff>11206</xdr:rowOff>
    </xdr:from>
    <xdr:to>
      <xdr:col>2</xdr:col>
      <xdr:colOff>2076450</xdr:colOff>
      <xdr:row>33</xdr:row>
      <xdr:rowOff>115981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97206" y="6398559"/>
          <a:ext cx="169545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285750</xdr:colOff>
          <xdr:row>6</xdr:row>
          <xdr:rowOff>19050</xdr:rowOff>
        </xdr:from>
        <xdr:to>
          <xdr:col>12</xdr:col>
          <xdr:colOff>276225</xdr:colOff>
          <xdr:row>7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CÁLCULO LOTE ÓPTIMO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F52"/>
  <sheetViews>
    <sheetView zoomScaleNormal="100" workbookViewId="0">
      <selection activeCell="C20" sqref="C20"/>
    </sheetView>
  </sheetViews>
  <sheetFormatPr baseColWidth="10" defaultColWidth="9.140625" defaultRowHeight="15" x14ac:dyDescent="0.25"/>
  <cols>
    <col min="2" max="2" width="19.7109375" customWidth="1"/>
    <col min="3" max="3" width="37.85546875" customWidth="1"/>
    <col min="4" max="4" width="27.42578125" customWidth="1"/>
    <col min="5" max="5" width="11.85546875" bestFit="1" customWidth="1"/>
    <col min="6" max="6" width="21.5703125" customWidth="1"/>
  </cols>
  <sheetData>
    <row r="2" spans="1:6" x14ac:dyDescent="0.25">
      <c r="A2" s="1" t="s">
        <v>0</v>
      </c>
    </row>
    <row r="3" spans="1:6" x14ac:dyDescent="0.25">
      <c r="B3" t="s">
        <v>17</v>
      </c>
      <c r="D3" s="8" t="s">
        <v>34</v>
      </c>
      <c r="E3" s="8" t="s">
        <v>35</v>
      </c>
      <c r="F3" s="8" t="s">
        <v>16</v>
      </c>
    </row>
    <row r="4" spans="1:6" x14ac:dyDescent="0.25">
      <c r="C4" s="6" t="s">
        <v>36</v>
      </c>
      <c r="D4" s="5"/>
      <c r="E4" s="5">
        <v>12</v>
      </c>
      <c r="F4" s="5" t="s">
        <v>18</v>
      </c>
    </row>
    <row r="5" spans="1:6" x14ac:dyDescent="0.25">
      <c r="C5" s="6" t="s">
        <v>4</v>
      </c>
      <c r="D5" s="5" t="s">
        <v>1</v>
      </c>
      <c r="E5" s="5">
        <v>5000</v>
      </c>
      <c r="F5" s="5"/>
    </row>
    <row r="6" spans="1:6" ht="15.75" customHeight="1" x14ac:dyDescent="0.25">
      <c r="C6" s="7" t="s">
        <v>6</v>
      </c>
      <c r="D6" s="5" t="s">
        <v>2</v>
      </c>
      <c r="E6" s="5">
        <v>5.5</v>
      </c>
      <c r="F6" s="5" t="s">
        <v>8</v>
      </c>
    </row>
    <row r="7" spans="1:6" ht="15.75" customHeight="1" x14ac:dyDescent="0.25">
      <c r="C7" s="6" t="s">
        <v>5</v>
      </c>
      <c r="D7" s="5" t="s">
        <v>3</v>
      </c>
      <c r="E7" s="5">
        <v>40</v>
      </c>
      <c r="F7" s="5" t="s">
        <v>8</v>
      </c>
    </row>
    <row r="8" spans="1:6" ht="15.75" customHeight="1" x14ac:dyDescent="0.25">
      <c r="C8" s="6"/>
      <c r="D8" s="5" t="s">
        <v>24</v>
      </c>
      <c r="E8" s="5">
        <v>30</v>
      </c>
      <c r="F8" s="5"/>
    </row>
    <row r="9" spans="1:6" x14ac:dyDescent="0.25">
      <c r="C9" s="6"/>
      <c r="D9" s="5" t="s">
        <v>23</v>
      </c>
      <c r="E9" s="5">
        <v>2</v>
      </c>
      <c r="F9" s="5"/>
    </row>
    <row r="10" spans="1:6" x14ac:dyDescent="0.25">
      <c r="A10" s="11" t="s">
        <v>10</v>
      </c>
      <c r="B10" s="11"/>
      <c r="C10" s="11"/>
    </row>
    <row r="12" spans="1:6" x14ac:dyDescent="0.25">
      <c r="B12" t="s">
        <v>9</v>
      </c>
      <c r="C12">
        <f>SQRT(2*E5*E7/E6)</f>
        <v>269.6799449852968</v>
      </c>
    </row>
    <row r="13" spans="1:6" x14ac:dyDescent="0.25">
      <c r="C13" s="4">
        <f>ROUND(C12,0)</f>
        <v>270</v>
      </c>
    </row>
    <row r="15" spans="1:6" x14ac:dyDescent="0.25">
      <c r="A15" s="1"/>
    </row>
    <row r="18" spans="1:6" x14ac:dyDescent="0.25">
      <c r="A18" s="2" t="s">
        <v>20</v>
      </c>
    </row>
    <row r="20" spans="1:6" x14ac:dyDescent="0.25">
      <c r="D20" t="s">
        <v>21</v>
      </c>
    </row>
    <row r="22" spans="1:6" x14ac:dyDescent="0.25">
      <c r="B22" t="s">
        <v>22</v>
      </c>
      <c r="C22">
        <f>E9*E8*SQRT(1)</f>
        <v>60</v>
      </c>
    </row>
    <row r="25" spans="1:6" ht="21.75" customHeight="1" x14ac:dyDescent="0.25"/>
    <row r="26" spans="1:6" ht="21.75" customHeight="1" x14ac:dyDescent="0.25">
      <c r="B26" t="s">
        <v>25</v>
      </c>
      <c r="C26" s="4">
        <f>(E5*1)/12 + C22</f>
        <v>476.66666666666669</v>
      </c>
      <c r="D26" t="s">
        <v>32</v>
      </c>
    </row>
    <row r="27" spans="1:6" ht="21.75" customHeight="1" x14ac:dyDescent="0.25">
      <c r="A27" t="s">
        <v>26</v>
      </c>
    </row>
    <row r="28" spans="1:6" ht="17.25" customHeight="1" x14ac:dyDescent="0.25">
      <c r="B28" t="s">
        <v>28</v>
      </c>
      <c r="C28">
        <f>E5/C13</f>
        <v>18.518518518518519</v>
      </c>
      <c r="D28" t="s">
        <v>29</v>
      </c>
      <c r="E28" s="4">
        <f>ROUND(C28,0)</f>
        <v>19</v>
      </c>
      <c r="F28" t="s">
        <v>31</v>
      </c>
    </row>
    <row r="29" spans="1:6" ht="21.75" customHeight="1" x14ac:dyDescent="0.25">
      <c r="A29" t="s">
        <v>27</v>
      </c>
    </row>
    <row r="30" spans="1:6" x14ac:dyDescent="0.25">
      <c r="C30">
        <f>E4/E28</f>
        <v>0.63157894736842102</v>
      </c>
      <c r="E30" s="4">
        <f>C30</f>
        <v>0.63157894736842102</v>
      </c>
      <c r="F30" t="s">
        <v>30</v>
      </c>
    </row>
    <row r="31" spans="1:6" x14ac:dyDescent="0.25">
      <c r="A31" s="11" t="s">
        <v>11</v>
      </c>
      <c r="B31" s="11"/>
      <c r="C31" s="11"/>
    </row>
    <row r="35" spans="1:4" x14ac:dyDescent="0.25">
      <c r="B35" t="s">
        <v>33</v>
      </c>
      <c r="C35" s="4">
        <f>(E5*40/C13)+(C13*E6)/2+(E5*E4)</f>
        <v>61483.240740740745</v>
      </c>
    </row>
    <row r="38" spans="1:4" x14ac:dyDescent="0.25">
      <c r="A38" s="11" t="s">
        <v>13</v>
      </c>
      <c r="B38" s="11"/>
      <c r="C38" s="11"/>
    </row>
    <row r="39" spans="1:4" x14ac:dyDescent="0.25">
      <c r="B39" t="s">
        <v>12</v>
      </c>
      <c r="C39">
        <v>0.2</v>
      </c>
    </row>
    <row r="40" spans="1:4" x14ac:dyDescent="0.25">
      <c r="C40">
        <f>SQRT(2*E5*E7/(E6*(1-C39)))</f>
        <v>301.51134457776362</v>
      </c>
    </row>
    <row r="42" spans="1:4" x14ac:dyDescent="0.25">
      <c r="A42" t="s">
        <v>15</v>
      </c>
      <c r="C42">
        <v>350</v>
      </c>
      <c r="D42" t="s">
        <v>7</v>
      </c>
    </row>
    <row r="50" spans="2:5" x14ac:dyDescent="0.25">
      <c r="B50" t="s">
        <v>14</v>
      </c>
      <c r="C50" s="4">
        <f>(E5*40/C42)+(C42*E6*(1-C39))/2+(E5*E4*(1-C39))</f>
        <v>49341.428571428572</v>
      </c>
    </row>
    <row r="52" spans="2:5" ht="30.75" customHeight="1" x14ac:dyDescent="0.25">
      <c r="D52" s="3" t="s">
        <v>19</v>
      </c>
      <c r="E52" s="3"/>
    </row>
  </sheetData>
  <mergeCells count="3">
    <mergeCell ref="A10:C10"/>
    <mergeCell ref="A31:C31"/>
    <mergeCell ref="A38:C3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3C3DC-1E78-4980-B5E8-7346EB07FD27}">
  <sheetPr codeName="Hoja2"/>
  <dimension ref="A1:C24"/>
  <sheetViews>
    <sheetView tabSelected="1" zoomScale="85" zoomScaleNormal="85" workbookViewId="0">
      <selection activeCell="B13" sqref="B13"/>
    </sheetView>
  </sheetViews>
  <sheetFormatPr baseColWidth="10" defaultRowHeight="15" x14ac:dyDescent="0.25"/>
  <cols>
    <col min="1" max="1" width="44.5703125" customWidth="1"/>
    <col min="2" max="2" width="30.85546875" customWidth="1"/>
    <col min="3" max="3" width="11.85546875" bestFit="1" customWidth="1"/>
  </cols>
  <sheetData>
    <row r="1" spans="1:3" x14ac:dyDescent="0.25">
      <c r="A1" s="6" t="s">
        <v>36</v>
      </c>
      <c r="B1" s="5" t="s">
        <v>42</v>
      </c>
      <c r="C1">
        <v>12</v>
      </c>
    </row>
    <row r="2" spans="1:3" x14ac:dyDescent="0.25">
      <c r="A2" s="7" t="s">
        <v>6</v>
      </c>
      <c r="B2" s="5" t="s">
        <v>2</v>
      </c>
    </row>
    <row r="3" spans="1:3" x14ac:dyDescent="0.25">
      <c r="A3" s="6" t="s">
        <v>4</v>
      </c>
      <c r="B3" s="5" t="s">
        <v>1</v>
      </c>
      <c r="C3">
        <v>1233</v>
      </c>
    </row>
    <row r="4" spans="1:3" x14ac:dyDescent="0.25">
      <c r="A4" s="7" t="s">
        <v>6</v>
      </c>
      <c r="B4" s="5" t="s">
        <v>2</v>
      </c>
      <c r="C4">
        <v>5.5</v>
      </c>
    </row>
    <row r="5" spans="1:3" x14ac:dyDescent="0.25">
      <c r="A5" s="6" t="s">
        <v>5</v>
      </c>
      <c r="B5" s="5" t="s">
        <v>3</v>
      </c>
      <c r="C5">
        <v>12</v>
      </c>
    </row>
    <row r="6" spans="1:3" x14ac:dyDescent="0.25">
      <c r="A6" s="6" t="s">
        <v>40</v>
      </c>
      <c r="B6" s="9" t="s">
        <v>37</v>
      </c>
      <c r="C6" s="10">
        <v>0.25</v>
      </c>
    </row>
    <row r="7" spans="1:3" x14ac:dyDescent="0.25">
      <c r="A7" s="6" t="s">
        <v>39</v>
      </c>
      <c r="B7" s="9" t="s">
        <v>38</v>
      </c>
      <c r="C7">
        <v>45</v>
      </c>
    </row>
    <row r="8" spans="1:3" x14ac:dyDescent="0.25">
      <c r="A8" s="6" t="s">
        <v>24</v>
      </c>
    </row>
    <row r="9" spans="1:3" x14ac:dyDescent="0.25">
      <c r="A9" s="6"/>
      <c r="B9" s="5" t="s">
        <v>23</v>
      </c>
    </row>
    <row r="14" spans="1:3" x14ac:dyDescent="0.25">
      <c r="C14" s="10"/>
    </row>
    <row r="17" spans="1:3" x14ac:dyDescent="0.25">
      <c r="B17" s="5" t="s">
        <v>41</v>
      </c>
      <c r="C17" s="5">
        <f>SQRT((2*$C$3*$C$5)/(IF($C$4&gt;0,$C$4,$C$6*$C$7)))</f>
        <v>73.350962068425773</v>
      </c>
    </row>
    <row r="18" spans="1:3" x14ac:dyDescent="0.25">
      <c r="B18" s="5" t="s">
        <v>44</v>
      </c>
      <c r="C18" s="5"/>
    </row>
    <row r="19" spans="1:3" x14ac:dyDescent="0.25">
      <c r="B19" s="5" t="s">
        <v>43</v>
      </c>
      <c r="C19" s="5"/>
    </row>
    <row r="20" spans="1:3" x14ac:dyDescent="0.25">
      <c r="B20" s="9" t="s">
        <v>45</v>
      </c>
      <c r="C20" s="5"/>
    </row>
    <row r="24" spans="1:3" x14ac:dyDescent="0.25">
      <c r="A24" t="s">
        <v>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te_">
                <anchor moveWithCells="1" sizeWithCells="1">
                  <from>
                    <xdr:col>10</xdr:col>
                    <xdr:colOff>285750</xdr:colOff>
                    <xdr:row>6</xdr:row>
                    <xdr:rowOff>19050</xdr:rowOff>
                  </from>
                  <to>
                    <xdr:col>12</xdr:col>
                    <xdr:colOff>276225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CÁLCULO DE FACTORES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</dc:creator>
  <cp:lastModifiedBy>MARCELO</cp:lastModifiedBy>
  <dcterms:created xsi:type="dcterms:W3CDTF">2015-06-05T18:19:34Z</dcterms:created>
  <dcterms:modified xsi:type="dcterms:W3CDTF">2021-01-23T09:24:04Z</dcterms:modified>
</cp:coreProperties>
</file>