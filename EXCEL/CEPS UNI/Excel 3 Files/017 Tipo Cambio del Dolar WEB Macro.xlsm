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X:\PPTs - PDFs Excel\Ejercicios para Excel Nivel 3\"/>
    </mc:Choice>
  </mc:AlternateContent>
  <bookViews>
    <workbookView xWindow="0" yWindow="0" windowWidth="28800" windowHeight="12435"/>
  </bookViews>
  <sheets>
    <sheet name="Dolar Web" sheetId="1" r:id="rId1"/>
    <sheet name="Dolar Sunat" sheetId="2" r:id="rId2"/>
  </sheets>
  <definedNames>
    <definedName name="cuantoestaeldolar.pe" localSheetId="0">'Dolar Web'!$E$3:$G$12</definedName>
    <definedName name="Dos">'Dolar Sunat'!$A$6:$A$10,'Dolar Sunat'!$D$6:$D$10,'Dolar Sunat'!$G$6:$G$10,'Dolar Sunat'!$J$6:$J$10</definedName>
    <definedName name="Num">'Dolar Sunat'!$S$12</definedName>
    <definedName name="tcS01Alias" localSheetId="1">'Dolar Sunat'!$A$5:$L$10</definedName>
    <definedName name="Uno">'Dolar Sunat'!$A$6,'Dolar Sunat'!$D$6,'Dolar Sunat'!$G$6,'Dolar Sunat'!$J$6,'Dolar Sunat'!$A$7,'Dolar Sunat'!$D$7,'Dolar Sunat'!$G$7,'Dolar Sunat'!$J$7,'Dolar Sunat'!$A$8,'Dolar Sunat'!$D$8,'Dolar Sunat'!$G$8,'Dolar Sunat'!$J$8,'Dolar Sunat'!$A$9,'Dolar Sunat'!$D$9,'Dolar Sunat'!$G$9,'Dolar Sunat'!$J$9,'Dolar Sunat'!$A$10,'Dolar Sunat'!$D$10,'Dolar Sunat'!$G$10,'Dolar Sunat'!$J$10,'Dolar Sunat'!$A$11,'Dolar Sunat'!$D$11,'Dolar Sunat'!$G$11,'Dolar Sunat'!$J$11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A2" i="1" l="1"/>
  <c r="I14" i="1"/>
  <c r="J14" i="1"/>
  <c r="K14" i="1"/>
  <c r="I15" i="1"/>
  <c r="J15" i="1"/>
  <c r="K15" i="1"/>
  <c r="I16" i="1"/>
  <c r="J16" i="1"/>
  <c r="K16" i="1"/>
  <c r="I17" i="1"/>
  <c r="J17" i="1"/>
  <c r="K17" i="1"/>
  <c r="B4" i="1" l="1"/>
  <c r="B3" i="1"/>
  <c r="C9" i="1" l="1"/>
  <c r="C8" i="1"/>
</calcChain>
</file>

<file path=xl/connections.xml><?xml version="1.0" encoding="utf-8"?>
<connections xmlns="http://schemas.openxmlformats.org/spreadsheetml/2006/main">
  <connection id="1" name="Conexión" type="4" refreshedVersion="5" background="1" saveData="1">
    <webPr sourceData="1" parsePre="1" consecutive="1" xl2000="1" url="http://ww1.sunat.gob.pe/cl-at-ittipcam/tcS01Alias" htmlTables="1">
      <tables count="1">
        <x v="2"/>
      </tables>
    </webPr>
  </connection>
  <connection id="2" name="Conexión1" type="4" refreshedVersion="5" background="1" saveData="1">
    <webPr sourceData="1" parsePre="1" consecutive="1" xl2000="1" url="http://cuantoestaeldolar.pe" htmlTables="1">
      <tables count="1">
        <x v="1"/>
      </tables>
    </webPr>
  </connection>
</connections>
</file>

<file path=xl/sharedStrings.xml><?xml version="1.0" encoding="utf-8"?>
<sst xmlns="http://schemas.openxmlformats.org/spreadsheetml/2006/main" count="56" uniqueCount="30">
  <si>
    <t>Día</t>
  </si>
  <si>
    <t>Compra</t>
  </si>
  <si>
    <t>Venta</t>
  </si>
  <si>
    <t>TC compra</t>
  </si>
  <si>
    <t>TC venta</t>
  </si>
  <si>
    <t>(S/. por US$)</t>
  </si>
  <si>
    <t>COMPRA</t>
  </si>
  <si>
    <t>VENTA</t>
  </si>
  <si>
    <t>Sunat - SBS</t>
  </si>
  <si>
    <t>Cambistas</t>
  </si>
  <si>
    <t>BCP</t>
  </si>
  <si>
    <t>INTERBANK</t>
  </si>
  <si>
    <t>http://cuantoestaeldolar.pe/</t>
  </si>
  <si>
    <t>Articulos</t>
  </si>
  <si>
    <t>Autos</t>
  </si>
  <si>
    <t>Casas</t>
  </si>
  <si>
    <t>Dolares</t>
  </si>
  <si>
    <t>Soles</t>
  </si>
  <si>
    <t>Tipo de cambio del Dólar (www.sunat.gob.pe)</t>
  </si>
  <si>
    <t>Tipo de Cambio del Dólar Web</t>
  </si>
  <si>
    <t xml:space="preserve">    For Each Celda In Range("Uno")</t>
  </si>
  <si>
    <t xml:space="preserve">        n = n + 1</t>
  </si>
  <si>
    <t xml:space="preserve">    Next</t>
  </si>
  <si>
    <t>End Sub</t>
  </si>
  <si>
    <t>Sub Laboral()</t>
  </si>
  <si>
    <t>Borrar</t>
  </si>
  <si>
    <t>Todo</t>
  </si>
  <si>
    <t>Laboral</t>
  </si>
  <si>
    <t>Dia</t>
  </si>
  <si>
    <t xml:space="preserve">        Celda.Range("A1:C1").Copy Range("N13").Rows(n)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</si>
</sst>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 &quot;S/.&quot;\ * #,##0.00_ ;_ &quot;S/.&quot;\ * \-#,##0.00_ ;_ &quot;S/.&quot;\ * &quot;-&quot;??_ ;_ @_ "/>
    <numFmt numFmtId="165" formatCode="_-[$$-409]* #,##0.00_ ;_-[$$-409]* \-#,##0.00\ ;_-[$$-409]* &quot;-&quot;??_ ;_-@_ "/>
    <numFmt numFmtId="166" formatCode="0.000"/>
    <numFmt numFmtId="167" formatCode="dd\ mmm\ yyyy"/>
    <numFmt numFmtId="168" formatCode="[$-F800]dddd\,\ mmmm\ dd\,\ 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u/>
      <sz val="16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u/>
      <sz val="16"/>
      <color rgb="FF0070C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">
    <xf numFmtId="0" fontId="0" fillId="0" borderId="0" xfId="0"/>
    <xf numFmtId="16" fontId="0" fillId="0" borderId="0" xfId="0" applyNumberFormat="1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1" fillId="0" borderId="1" xfId="0" applyFont="1" applyBorder="1"/>
    <xf numFmtId="0" fontId="3" fillId="0" borderId="0" xfId="0" applyFont="1"/>
    <xf numFmtId="0" fontId="1" fillId="0" borderId="1" xfId="0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165" fontId="0" fillId="0" borderId="1" xfId="0" applyNumberFormat="1" applyBorder="1"/>
    <xf numFmtId="164" fontId="0" fillId="0" borderId="1" xfId="1" applyFont="1" applyBorder="1"/>
    <xf numFmtId="0" fontId="1" fillId="3" borderId="1" xfId="0" applyFont="1" applyFill="1" applyBorder="1"/>
    <xf numFmtId="0" fontId="0" fillId="0" borderId="1" xfId="0" applyFont="1" applyFill="1" applyBorder="1"/>
    <xf numFmtId="0" fontId="4" fillId="0" borderId="0" xfId="0" applyFont="1"/>
    <xf numFmtId="0" fontId="0" fillId="0" borderId="1" xfId="0" applyFill="1" applyBorder="1"/>
    <xf numFmtId="0" fontId="0" fillId="8" borderId="1" xfId="0" applyFill="1" applyBorder="1" applyAlignment="1">
      <alignment horizontal="center"/>
    </xf>
    <xf numFmtId="0" fontId="5" fillId="0" borderId="0" xfId="2"/>
    <xf numFmtId="0" fontId="1" fillId="0" borderId="1" xfId="0" applyFont="1" applyFill="1" applyBorder="1"/>
    <xf numFmtId="0" fontId="6" fillId="0" borderId="0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7" fillId="0" borderId="3" xfId="0" applyFont="1" applyFill="1" applyBorder="1"/>
    <xf numFmtId="166" fontId="7" fillId="0" borderId="2" xfId="0" applyNumberFormat="1" applyFont="1" applyFill="1" applyBorder="1"/>
    <xf numFmtId="167" fontId="8" fillId="0" borderId="0" xfId="0" applyNumberFormat="1" applyFont="1" applyAlignment="1">
      <alignment horizontal="center"/>
    </xf>
    <xf numFmtId="0" fontId="0" fillId="0" borderId="5" xfId="0" applyBorder="1"/>
    <xf numFmtId="0" fontId="0" fillId="9" borderId="1" xfId="0" applyFill="1" applyBorder="1"/>
    <xf numFmtId="0" fontId="9" fillId="0" borderId="0" xfId="0" applyFont="1"/>
    <xf numFmtId="168" fontId="1" fillId="0" borderId="0" xfId="0" applyNumberFormat="1" applyFont="1" applyAlignment="1">
      <alignment horizontal="left"/>
    </xf>
  </cellXfs>
  <cellStyles count="3">
    <cellStyle name="Hipervínculo" xfId="2" builtinId="8"/>
    <cellStyle name="Moneda" xfId="1" builtinId="4"/>
    <cellStyle name="Normal" xfId="0" builtinId="0"/>
  </cellStyles>
  <dxfs count="8"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00"/>
      <fill>
        <patternFill patternType="none">
          <fgColor indexed="64"/>
          <bgColor auto="1"/>
        </patternFill>
      </fill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border outline="0">
        <right style="thin">
          <color indexed="64"/>
        </right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'Dolar Web'!$A$1</c:f>
          <c:strCache>
            <c:ptCount val="1"/>
            <c:pt idx="0">
              <c:v>Tipo de Cambio del Dólar Web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009663905643507E-2"/>
          <c:y val="0.11285894863345278"/>
          <c:w val="0.82626441941584206"/>
          <c:h val="0.79008346903324234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'Dolar Web'!$J$13</c:f>
              <c:strCache>
                <c:ptCount val="1"/>
                <c:pt idx="0">
                  <c:v>COMPRA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'Dolar Web'!$I$14:$I$17</c:f>
              <c:strCache>
                <c:ptCount val="4"/>
                <c:pt idx="0">
                  <c:v>Sunat - SBS</c:v>
                </c:pt>
                <c:pt idx="1">
                  <c:v>Cambistas</c:v>
                </c:pt>
                <c:pt idx="2">
                  <c:v>BCP</c:v>
                </c:pt>
                <c:pt idx="3">
                  <c:v>INTERBANK</c:v>
                </c:pt>
              </c:strCache>
            </c:strRef>
          </c:cat>
          <c:val>
            <c:numRef>
              <c:f>'Dolar Web'!$J$14:$J$17</c:f>
              <c:numCache>
                <c:formatCode>0.000</c:formatCode>
                <c:ptCount val="4"/>
                <c:pt idx="0">
                  <c:v>3.351</c:v>
                </c:pt>
                <c:pt idx="1">
                  <c:v>3.3879999999999999</c:v>
                </c:pt>
                <c:pt idx="2">
                  <c:v>3.2749999999999999</c:v>
                </c:pt>
                <c:pt idx="3">
                  <c:v>3.2749999999999999</c:v>
                </c:pt>
              </c:numCache>
            </c:numRef>
          </c:val>
        </c:ser>
        <c:ser>
          <c:idx val="1"/>
          <c:order val="1"/>
          <c:tx>
            <c:strRef>
              <c:f>'Dolar Web'!$K$13</c:f>
              <c:strCache>
                <c:ptCount val="1"/>
                <c:pt idx="0">
                  <c:v>VENTA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'Dolar Web'!$I$14:$I$17</c:f>
              <c:strCache>
                <c:ptCount val="4"/>
                <c:pt idx="0">
                  <c:v>Sunat - SBS</c:v>
                </c:pt>
                <c:pt idx="1">
                  <c:v>Cambistas</c:v>
                </c:pt>
                <c:pt idx="2">
                  <c:v>BCP</c:v>
                </c:pt>
                <c:pt idx="3">
                  <c:v>INTERBANK</c:v>
                </c:pt>
              </c:strCache>
            </c:strRef>
          </c:cat>
          <c:val>
            <c:numRef>
              <c:f>'Dolar Web'!$K$14:$K$17</c:f>
              <c:numCache>
                <c:formatCode>0.000</c:formatCode>
                <c:ptCount val="4"/>
                <c:pt idx="0">
                  <c:v>3.3559999999999999</c:v>
                </c:pt>
                <c:pt idx="1">
                  <c:v>3.3959999999999999</c:v>
                </c:pt>
                <c:pt idx="2">
                  <c:v>3.415</c:v>
                </c:pt>
                <c:pt idx="3">
                  <c:v>3.42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248331216"/>
        <c:axId val="295455056"/>
        <c:axId val="295482712"/>
      </c:bar3DChart>
      <c:catAx>
        <c:axId val="24833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95455056"/>
        <c:crosses val="autoZero"/>
        <c:auto val="1"/>
        <c:lblAlgn val="ctr"/>
        <c:lblOffset val="100"/>
        <c:noMultiLvlLbl val="0"/>
      </c:catAx>
      <c:valAx>
        <c:axId val="295455056"/>
        <c:scaling>
          <c:orientation val="minMax"/>
        </c:scaling>
        <c:delete val="1"/>
        <c:axPos val="l"/>
        <c:numFmt formatCode="0.000" sourceLinked="1"/>
        <c:majorTickMark val="out"/>
        <c:minorTickMark val="none"/>
        <c:tickLblPos val="nextTo"/>
        <c:crossAx val="248331216"/>
        <c:crosses val="autoZero"/>
        <c:crossBetween val="between"/>
      </c:valAx>
      <c:serAx>
        <c:axId val="2954827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95455056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'Dolar Sunat'!$A$3</c:f>
          <c:strCache>
            <c:ptCount val="1"/>
            <c:pt idx="0">
              <c:v>viernes, 23 de septiembre de 2016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'Dolar Sunat'!$O$12</c:f>
              <c:strCache>
                <c:ptCount val="1"/>
                <c:pt idx="0">
                  <c:v>Compra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'Dolar Sunat'!$N$13:$N$36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</c:numCache>
            </c:numRef>
          </c:xVal>
          <c:yVal>
            <c:numRef>
              <c:f>'Dolar Sunat'!$O$13:$O$36</c:f>
              <c:numCache>
                <c:formatCode>General</c:formatCode>
                <c:ptCount val="24"/>
                <c:pt idx="0">
                  <c:v>3.39</c:v>
                </c:pt>
                <c:pt idx="1">
                  <c:v>3.3959999999999999</c:v>
                </c:pt>
                <c:pt idx="2">
                  <c:v>3.3860000000000001</c:v>
                </c:pt>
                <c:pt idx="3">
                  <c:v>3.3919999999999999</c:v>
                </c:pt>
                <c:pt idx="4">
                  <c:v>3.3690000000000002</c:v>
                </c:pt>
                <c:pt idx="5">
                  <c:v>3.3559999999999999</c:v>
                </c:pt>
                <c:pt idx="6">
                  <c:v>3.3679999999999999</c:v>
                </c:pt>
                <c:pt idx="7">
                  <c:v>3.3820000000000001</c:v>
                </c:pt>
                <c:pt idx="8">
                  <c:v>3.399</c:v>
                </c:pt>
                <c:pt idx="9">
                  <c:v>3.411</c:v>
                </c:pt>
                <c:pt idx="10">
                  <c:v>3.3940000000000001</c:v>
                </c:pt>
                <c:pt idx="11">
                  <c:v>3.3849999999999998</c:v>
                </c:pt>
                <c:pt idx="12">
                  <c:v>3.3919999999999999</c:v>
                </c:pt>
                <c:pt idx="13">
                  <c:v>3.387</c:v>
                </c:pt>
                <c:pt idx="14">
                  <c:v>3.3860000000000001</c:v>
                </c:pt>
                <c:pt idx="15">
                  <c:v>3.3740000000000001</c:v>
                </c:pt>
                <c:pt idx="16">
                  <c:v>3.351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'Dolar Sunat'!$P$12</c:f>
              <c:strCache>
                <c:ptCount val="1"/>
                <c:pt idx="0">
                  <c:v>Venta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'Dolar Sunat'!$N$13:$N$36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</c:numCache>
            </c:numRef>
          </c:xVal>
          <c:yVal>
            <c:numRef>
              <c:f>'Dolar Sunat'!$P$13:$P$36</c:f>
              <c:numCache>
                <c:formatCode>General</c:formatCode>
                <c:ptCount val="24"/>
                <c:pt idx="0">
                  <c:v>3.395</c:v>
                </c:pt>
                <c:pt idx="1">
                  <c:v>3.399</c:v>
                </c:pt>
                <c:pt idx="2">
                  <c:v>3.391</c:v>
                </c:pt>
                <c:pt idx="3">
                  <c:v>3.399</c:v>
                </c:pt>
                <c:pt idx="4">
                  <c:v>3.375</c:v>
                </c:pt>
                <c:pt idx="5">
                  <c:v>3.359</c:v>
                </c:pt>
                <c:pt idx="6">
                  <c:v>3.371</c:v>
                </c:pt>
                <c:pt idx="7">
                  <c:v>3.3860000000000001</c:v>
                </c:pt>
                <c:pt idx="8">
                  <c:v>3.4009999999999998</c:v>
                </c:pt>
                <c:pt idx="9">
                  <c:v>3.4129999999999998</c:v>
                </c:pt>
                <c:pt idx="10">
                  <c:v>3.399</c:v>
                </c:pt>
                <c:pt idx="11">
                  <c:v>3.39</c:v>
                </c:pt>
                <c:pt idx="12">
                  <c:v>3.3959999999999999</c:v>
                </c:pt>
                <c:pt idx="13">
                  <c:v>3.39</c:v>
                </c:pt>
                <c:pt idx="14">
                  <c:v>3.3889999999999998</c:v>
                </c:pt>
                <c:pt idx="15">
                  <c:v>3.3809999999999998</c:v>
                </c:pt>
                <c:pt idx="16">
                  <c:v>3.3559999999999999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457800"/>
        <c:axId val="295457016"/>
      </c:scatterChart>
      <c:valAx>
        <c:axId val="295457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95457016"/>
        <c:crosses val="autoZero"/>
        <c:crossBetween val="midCat"/>
        <c:majorUnit val="1"/>
      </c:valAx>
      <c:valAx>
        <c:axId val="295457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95457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List" dx="22" fmlaLink="Num" fmlaRange="$S$13:$S$18" noThreeD="1" sel="3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28015</xdr:colOff>
      <xdr:row>2</xdr:row>
      <xdr:rowOff>24512</xdr:rowOff>
    </xdr:from>
    <xdr:to>
      <xdr:col>17</xdr:col>
      <xdr:colOff>683558</xdr:colOff>
      <xdr:row>18</xdr:row>
      <xdr:rowOff>156883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107578</xdr:colOff>
          <xdr:row>10</xdr:row>
          <xdr:rowOff>81964</xdr:rowOff>
        </xdr:from>
        <xdr:to>
          <xdr:col>2</xdr:col>
          <xdr:colOff>929708</xdr:colOff>
          <xdr:row>19</xdr:row>
          <xdr:rowOff>160404</xdr:rowOff>
        </xdr:to>
        <xdr:pic>
          <xdr:nvPicPr>
            <xdr:cNvPr id="14" name="Imagen 13"/>
            <xdr:cNvPicPr>
              <a:picLocks noChangeAspect="1" noChangeArrowheads="1"/>
              <a:extLst>
                <a:ext uri="{84589F7E-364E-4C9E-8A38-B11213B215E9}">
                  <a14:cameraTool cellRange="$M$3:$R$19" spid="_x0000_s104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7578" y="2063164"/>
              <a:ext cx="2531187" cy="179294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515470</xdr:colOff>
      <xdr:row>4</xdr:row>
      <xdr:rowOff>56029</xdr:rowOff>
    </xdr:from>
    <xdr:to>
      <xdr:col>2</xdr:col>
      <xdr:colOff>914400</xdr:colOff>
      <xdr:row>5</xdr:row>
      <xdr:rowOff>113178</xdr:rowOff>
    </xdr:to>
    <xdr:sp macro="[0]!ActualizaDolar" textlink="">
      <xdr:nvSpPr>
        <xdr:cNvPr id="4" name="Rectángulo redondeado 3"/>
        <xdr:cNvSpPr/>
      </xdr:nvSpPr>
      <xdr:spPr>
        <a:xfrm>
          <a:off x="1322294" y="896470"/>
          <a:ext cx="1295400" cy="247649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900" b="1">
              <a:solidFill>
                <a:schemeClr val="tx1"/>
              </a:solidFill>
            </a:rPr>
            <a:t>Actualiza Dólar</a:t>
          </a:r>
          <a:r>
            <a:rPr lang="es-AR" sz="900" b="1" baseline="0">
              <a:solidFill>
                <a:schemeClr val="tx1"/>
              </a:solidFill>
            </a:rPr>
            <a:t> Web</a:t>
          </a:r>
          <a:endParaRPr lang="es-AR" sz="9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0.09977</cdr:x>
      <cdr:y>0.15145</cdr:y>
    </cdr:from>
    <cdr:to>
      <cdr:x>0.33135</cdr:x>
      <cdr:y>0.22333</cdr:y>
    </cdr:to>
    <cdr:sp macro="" textlink="'Dolar Web'!$A$2">
      <cdr:nvSpPr>
        <cdr:cNvPr id="2" name="Rectángulo redondeado 1"/>
        <cdr:cNvSpPr/>
      </cdr:nvSpPr>
      <cdr:spPr>
        <a:xfrm xmlns:a="http://schemas.openxmlformats.org/drawingml/2006/main">
          <a:off x="445513" y="481674"/>
          <a:ext cx="1034143" cy="228600"/>
        </a:xfrm>
        <a:prstGeom xmlns:a="http://schemas.openxmlformats.org/drawingml/2006/main" prst="roundRect">
          <a:avLst/>
        </a:prstGeom>
      </cdr:spPr>
      <cdr:style>
        <a:lnRef xmlns:a="http://schemas.openxmlformats.org/drawingml/2006/main" idx="1">
          <a:schemeClr val="accent3"/>
        </a:lnRef>
        <a:fillRef xmlns:a="http://schemas.openxmlformats.org/drawingml/2006/main" idx="2">
          <a:schemeClr val="accent3"/>
        </a:fillRef>
        <a:effectRef xmlns:a="http://schemas.openxmlformats.org/drawingml/2006/main" idx="1">
          <a:schemeClr val="accent3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E16E37D6-F701-4DC7-AE2F-720BB93E989B}" type="TxLink">
            <a:rPr lang="en-US" sz="1100" b="1" i="0" u="none" strike="noStrike">
              <a:solidFill>
                <a:schemeClr val="tx1"/>
              </a:solidFill>
              <a:latin typeface="Calibri"/>
            </a:rPr>
            <a:pPr algn="ctr"/>
            <a:t>23 sep 2016</a:t>
          </a:fld>
          <a:endParaRPr lang="es-AR">
            <a:solidFill>
              <a:schemeClr val="tx1"/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57883</xdr:rowOff>
    </xdr:from>
    <xdr:to>
      <xdr:col>11</xdr:col>
      <xdr:colOff>361950</xdr:colOff>
      <xdr:row>30</xdr:row>
      <xdr:rowOff>106973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171450</xdr:colOff>
      <xdr:row>1</xdr:row>
      <xdr:rowOff>161925</xdr:rowOff>
    </xdr:from>
    <xdr:to>
      <xdr:col>15</xdr:col>
      <xdr:colOff>314325</xdr:colOff>
      <xdr:row>2</xdr:row>
      <xdr:rowOff>123825</xdr:rowOff>
    </xdr:to>
    <xdr:sp macro="[0]!Borrar" textlink="">
      <xdr:nvSpPr>
        <xdr:cNvPr id="5" name="Rectángulo redondeado 4"/>
        <xdr:cNvSpPr/>
      </xdr:nvSpPr>
      <xdr:spPr>
        <a:xfrm>
          <a:off x="5410200" y="352425"/>
          <a:ext cx="914400" cy="2286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900" b="1">
              <a:solidFill>
                <a:schemeClr val="tx1"/>
              </a:solidFill>
            </a:rPr>
            <a:t>Borrar</a:t>
          </a:r>
        </a:p>
      </xdr:txBody>
    </xdr:sp>
    <xdr:clientData/>
  </xdr:twoCellAnchor>
  <xdr:twoCellAnchor>
    <xdr:from>
      <xdr:col>13</xdr:col>
      <xdr:colOff>171450</xdr:colOff>
      <xdr:row>3</xdr:row>
      <xdr:rowOff>0</xdr:rowOff>
    </xdr:from>
    <xdr:to>
      <xdr:col>15</xdr:col>
      <xdr:colOff>314325</xdr:colOff>
      <xdr:row>4</xdr:row>
      <xdr:rowOff>19050</xdr:rowOff>
    </xdr:to>
    <xdr:sp macro="[0]!Todo" textlink="">
      <xdr:nvSpPr>
        <xdr:cNvPr id="6" name="Rectángulo redondeado 5"/>
        <xdr:cNvSpPr/>
      </xdr:nvSpPr>
      <xdr:spPr>
        <a:xfrm>
          <a:off x="10534650" y="571500"/>
          <a:ext cx="914400" cy="20955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900" b="1">
              <a:solidFill>
                <a:schemeClr val="tx1"/>
              </a:solidFill>
            </a:rPr>
            <a:t>Todo</a:t>
          </a:r>
        </a:p>
      </xdr:txBody>
    </xdr:sp>
    <xdr:clientData/>
  </xdr:twoCellAnchor>
  <xdr:twoCellAnchor>
    <xdr:from>
      <xdr:col>13</xdr:col>
      <xdr:colOff>171450</xdr:colOff>
      <xdr:row>4</xdr:row>
      <xdr:rowOff>95250</xdr:rowOff>
    </xdr:from>
    <xdr:to>
      <xdr:col>15</xdr:col>
      <xdr:colOff>314325</xdr:colOff>
      <xdr:row>5</xdr:row>
      <xdr:rowOff>114300</xdr:rowOff>
    </xdr:to>
    <xdr:sp macro="[0]!Laboral" textlink="">
      <xdr:nvSpPr>
        <xdr:cNvPr id="7" name="Rectángulo redondeado 6"/>
        <xdr:cNvSpPr/>
      </xdr:nvSpPr>
      <xdr:spPr>
        <a:xfrm>
          <a:off x="10534650" y="857250"/>
          <a:ext cx="914400" cy="20955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900" b="1">
              <a:solidFill>
                <a:schemeClr val="tx1"/>
              </a:solidFill>
            </a:rPr>
            <a:t>Laboral</a:t>
          </a:r>
        </a:p>
      </xdr:txBody>
    </xdr:sp>
    <xdr:clientData/>
  </xdr:twoCellAnchor>
  <xdr:twoCellAnchor>
    <xdr:from>
      <xdr:col>13</xdr:col>
      <xdr:colOff>171450</xdr:colOff>
      <xdr:row>6</xdr:row>
      <xdr:rowOff>9525</xdr:rowOff>
    </xdr:from>
    <xdr:to>
      <xdr:col>15</xdr:col>
      <xdr:colOff>314325</xdr:colOff>
      <xdr:row>7</xdr:row>
      <xdr:rowOff>28575</xdr:rowOff>
    </xdr:to>
    <xdr:sp macro="[0]!Dia" textlink="">
      <xdr:nvSpPr>
        <xdr:cNvPr id="8" name="Rectángulo redondeado 7"/>
        <xdr:cNvSpPr/>
      </xdr:nvSpPr>
      <xdr:spPr>
        <a:xfrm>
          <a:off x="10534650" y="1152525"/>
          <a:ext cx="914400" cy="20955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900" b="1">
              <a:solidFill>
                <a:schemeClr val="tx1"/>
              </a:solidFill>
            </a:rPr>
            <a:t>Dia</a:t>
          </a:r>
        </a:p>
      </xdr:txBody>
    </xdr:sp>
    <xdr:clientData/>
  </xdr:twoCellAnchor>
  <xdr:twoCellAnchor>
    <xdr:from>
      <xdr:col>13</xdr:col>
      <xdr:colOff>171450</xdr:colOff>
      <xdr:row>7</xdr:row>
      <xdr:rowOff>104775</xdr:rowOff>
    </xdr:from>
    <xdr:to>
      <xdr:col>15</xdr:col>
      <xdr:colOff>314325</xdr:colOff>
      <xdr:row>8</xdr:row>
      <xdr:rowOff>123825</xdr:rowOff>
    </xdr:to>
    <xdr:sp macro="[0]!Compra" textlink="">
      <xdr:nvSpPr>
        <xdr:cNvPr id="9" name="Rectángulo redondeado 8"/>
        <xdr:cNvSpPr/>
      </xdr:nvSpPr>
      <xdr:spPr>
        <a:xfrm>
          <a:off x="10534650" y="1438275"/>
          <a:ext cx="914400" cy="20955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900" b="1">
              <a:solidFill>
                <a:schemeClr val="tx1"/>
              </a:solidFill>
            </a:rPr>
            <a:t>Compra</a:t>
          </a:r>
        </a:p>
      </xdr:txBody>
    </xdr:sp>
    <xdr:clientData/>
  </xdr:twoCellAnchor>
  <xdr:twoCellAnchor>
    <xdr:from>
      <xdr:col>13</xdr:col>
      <xdr:colOff>171450</xdr:colOff>
      <xdr:row>9</xdr:row>
      <xdr:rowOff>0</xdr:rowOff>
    </xdr:from>
    <xdr:to>
      <xdr:col>15</xdr:col>
      <xdr:colOff>314325</xdr:colOff>
      <xdr:row>10</xdr:row>
      <xdr:rowOff>19050</xdr:rowOff>
    </xdr:to>
    <xdr:sp macro="[0]!Venta" textlink="">
      <xdr:nvSpPr>
        <xdr:cNvPr id="10" name="Rectángulo redondeado 9"/>
        <xdr:cNvSpPr/>
      </xdr:nvSpPr>
      <xdr:spPr>
        <a:xfrm>
          <a:off x="10534650" y="1714500"/>
          <a:ext cx="914400" cy="20955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900" b="1">
              <a:solidFill>
                <a:schemeClr val="tx1"/>
              </a:solidFill>
            </a:rPr>
            <a:t>Venta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200025</xdr:colOff>
          <xdr:row>11</xdr:row>
          <xdr:rowOff>66675</xdr:rowOff>
        </xdr:from>
        <xdr:to>
          <xdr:col>17</xdr:col>
          <xdr:colOff>657225</xdr:colOff>
          <xdr:row>15</xdr:row>
          <xdr:rowOff>85725</xdr:rowOff>
        </xdr:to>
        <xdr:sp macro="" textlink="">
          <xdr:nvSpPr>
            <xdr:cNvPr id="2049" name="List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171450</xdr:colOff>
      <xdr:row>0</xdr:row>
      <xdr:rowOff>85725</xdr:rowOff>
    </xdr:from>
    <xdr:to>
      <xdr:col>15</xdr:col>
      <xdr:colOff>314325</xdr:colOff>
      <xdr:row>1</xdr:row>
      <xdr:rowOff>104775</xdr:rowOff>
    </xdr:to>
    <xdr:sp macro="[0]!RangoUno" textlink="">
      <xdr:nvSpPr>
        <xdr:cNvPr id="12" name="Rectángulo redondeado 11"/>
        <xdr:cNvSpPr/>
      </xdr:nvSpPr>
      <xdr:spPr>
        <a:xfrm>
          <a:off x="5410200" y="85725"/>
          <a:ext cx="914400" cy="20955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900" b="1">
              <a:solidFill>
                <a:schemeClr val="tx1"/>
              </a:solidFill>
            </a:rPr>
            <a:t>Nombra Uno</a:t>
          </a:r>
        </a:p>
      </xdr:txBody>
    </xdr:sp>
    <xdr:clientData/>
  </xdr:twoCellAnchor>
  <xdr:twoCellAnchor>
    <xdr:from>
      <xdr:col>8</xdr:col>
      <xdr:colOff>180975</xdr:colOff>
      <xdr:row>2</xdr:row>
      <xdr:rowOff>47625</xdr:rowOff>
    </xdr:from>
    <xdr:to>
      <xdr:col>11</xdr:col>
      <xdr:colOff>276225</xdr:colOff>
      <xdr:row>3</xdr:row>
      <xdr:rowOff>104774</xdr:rowOff>
    </xdr:to>
    <xdr:sp macro="[0]!ActualizaSunat" textlink="">
      <xdr:nvSpPr>
        <xdr:cNvPr id="13" name="Rectángulo redondeado 12"/>
        <xdr:cNvSpPr/>
      </xdr:nvSpPr>
      <xdr:spPr>
        <a:xfrm>
          <a:off x="3362325" y="504825"/>
          <a:ext cx="1295400" cy="247649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900" b="1">
              <a:solidFill>
                <a:schemeClr val="tx1"/>
              </a:solidFill>
            </a:rPr>
            <a:t>Actualiza Tabla Sunat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cuantoestaeldolar.pe" adjustColumnWidth="0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cS01Alias" adjustColumnWidth="0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2" name="Tabla2" displayName="Tabla2" ref="I13:K17" totalsRowShown="0" headerRowDxfId="5" dataDxfId="4" tableBorderDxfId="3">
  <tableColumns count="3">
    <tableColumn id="1" name="(S/. por US$)" dataDxfId="2"/>
    <tableColumn id="2" name="COMPRA" dataDxfId="1"/>
    <tableColumn id="3" name="VENTA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20"/>
  <sheetViews>
    <sheetView tabSelected="1" zoomScale="145" zoomScaleNormal="145" workbookViewId="0">
      <selection activeCell="F4" sqref="F4"/>
    </sheetView>
  </sheetViews>
  <sheetFormatPr baseColWidth="10" defaultRowHeight="15" x14ac:dyDescent="0.25"/>
  <cols>
    <col min="1" max="1" width="12.140625" customWidth="1"/>
    <col min="2" max="2" width="13.42578125" customWidth="1"/>
    <col min="3" max="3" width="15.42578125" customWidth="1"/>
    <col min="4" max="4" width="2" customWidth="1"/>
    <col min="5" max="5" width="12.140625" bestFit="1" customWidth="1"/>
    <col min="6" max="6" width="9" bestFit="1" customWidth="1"/>
    <col min="7" max="7" width="8.85546875" customWidth="1"/>
    <col min="8" max="8" width="2.140625" customWidth="1"/>
    <col min="9" max="9" width="12.7109375" customWidth="1"/>
    <col min="10" max="10" width="9.7109375" customWidth="1"/>
    <col min="11" max="11" width="9.42578125" customWidth="1"/>
    <col min="12" max="12" width="3" customWidth="1"/>
  </cols>
  <sheetData>
    <row r="1" spans="1:11" ht="21" x14ac:dyDescent="0.35">
      <c r="A1" s="16" t="s">
        <v>19</v>
      </c>
      <c r="E1" s="8" t="s">
        <v>12</v>
      </c>
      <c r="K1" s="19"/>
    </row>
    <row r="2" spans="1:11" x14ac:dyDescent="0.25">
      <c r="A2" s="25">
        <f ca="1">TODAY()</f>
        <v>42636</v>
      </c>
      <c r="K2" s="1"/>
    </row>
    <row r="3" spans="1:11" x14ac:dyDescent="0.25">
      <c r="A3" t="s">
        <v>3</v>
      </c>
      <c r="B3" s="15">
        <f>F4</f>
        <v>3.351</v>
      </c>
      <c r="E3" s="7" t="s">
        <v>5</v>
      </c>
      <c r="F3" s="9" t="s">
        <v>6</v>
      </c>
      <c r="G3" s="9" t="s">
        <v>7</v>
      </c>
      <c r="J3" s="9" t="s">
        <v>6</v>
      </c>
      <c r="K3" s="9" t="s">
        <v>7</v>
      </c>
    </row>
    <row r="4" spans="1:11" x14ac:dyDescent="0.25">
      <c r="A4" t="s">
        <v>4</v>
      </c>
      <c r="B4" s="14">
        <f>G4</f>
        <v>3.3559999999999999</v>
      </c>
      <c r="E4" s="2" t="s">
        <v>8</v>
      </c>
      <c r="F4" s="4">
        <v>3.351</v>
      </c>
      <c r="G4" s="14">
        <v>3.3559999999999999</v>
      </c>
      <c r="J4" s="4">
        <v>3.246</v>
      </c>
      <c r="K4" s="14">
        <v>3.2490000000000001</v>
      </c>
    </row>
    <row r="5" spans="1:11" x14ac:dyDescent="0.25">
      <c r="E5" s="2"/>
      <c r="F5" s="2"/>
      <c r="G5" s="2"/>
      <c r="J5" s="2"/>
      <c r="K5" s="2"/>
    </row>
    <row r="6" spans="1:11" x14ac:dyDescent="0.25">
      <c r="E6" s="2" t="s">
        <v>9</v>
      </c>
      <c r="F6" s="3">
        <v>3.3879999999999999</v>
      </c>
      <c r="G6" s="3">
        <v>3.3959999999999999</v>
      </c>
      <c r="J6" s="3">
        <v>3.258</v>
      </c>
      <c r="K6" s="3">
        <v>3.2679999999999998</v>
      </c>
    </row>
    <row r="7" spans="1:11" x14ac:dyDescent="0.25">
      <c r="A7" s="9" t="s">
        <v>13</v>
      </c>
      <c r="B7" s="11" t="s">
        <v>16</v>
      </c>
      <c r="C7" s="10" t="s">
        <v>17</v>
      </c>
      <c r="E7" s="2"/>
      <c r="F7" s="2"/>
      <c r="G7" s="2"/>
      <c r="J7" s="2"/>
      <c r="K7" s="2"/>
    </row>
    <row r="8" spans="1:11" x14ac:dyDescent="0.25">
      <c r="A8" s="2" t="s">
        <v>14</v>
      </c>
      <c r="B8" s="12">
        <v>38520</v>
      </c>
      <c r="C8" s="13">
        <f>B8*B$4</f>
        <v>129273.12</v>
      </c>
      <c r="E8" s="2" t="s">
        <v>10</v>
      </c>
      <c r="F8" s="5">
        <v>3.2749999999999999</v>
      </c>
      <c r="G8" s="5">
        <v>3.415</v>
      </c>
      <c r="J8" s="5">
        <v>3.16</v>
      </c>
      <c r="K8" s="5">
        <v>3.3</v>
      </c>
    </row>
    <row r="9" spans="1:11" x14ac:dyDescent="0.25">
      <c r="A9" s="2" t="s">
        <v>15</v>
      </c>
      <c r="B9" s="12">
        <v>204500</v>
      </c>
      <c r="C9" s="13">
        <f>B9*B$4</f>
        <v>686302</v>
      </c>
      <c r="E9" s="2"/>
      <c r="F9" s="2"/>
      <c r="G9" s="2"/>
      <c r="J9" s="2"/>
      <c r="K9" s="2"/>
    </row>
    <row r="10" spans="1:11" x14ac:dyDescent="0.25">
      <c r="E10" s="2" t="s">
        <v>11</v>
      </c>
      <c r="F10" s="6">
        <v>3.2749999999999999</v>
      </c>
      <c r="G10" s="6">
        <v>3.42</v>
      </c>
      <c r="J10" s="6">
        <v>3.14</v>
      </c>
      <c r="K10" s="6">
        <v>3.35</v>
      </c>
    </row>
    <row r="12" spans="1:11" x14ac:dyDescent="0.25">
      <c r="E12" s="26"/>
      <c r="F12" s="26"/>
      <c r="G12" s="26"/>
    </row>
    <row r="13" spans="1:11" x14ac:dyDescent="0.25">
      <c r="E13" s="7" t="s">
        <v>5</v>
      </c>
      <c r="F13" s="9" t="s">
        <v>6</v>
      </c>
      <c r="G13" s="9" t="s">
        <v>7</v>
      </c>
      <c r="I13" s="21" t="s">
        <v>5</v>
      </c>
      <c r="J13" s="22" t="s">
        <v>6</v>
      </c>
      <c r="K13" s="22" t="s">
        <v>7</v>
      </c>
    </row>
    <row r="14" spans="1:11" x14ac:dyDescent="0.25">
      <c r="E14" s="2" t="s">
        <v>8</v>
      </c>
      <c r="F14" s="17">
        <v>3.3149999999999999</v>
      </c>
      <c r="G14" s="20">
        <v>3.3180000000000001</v>
      </c>
      <c r="I14" s="23" t="str">
        <f>E4</f>
        <v>Sunat - SBS</v>
      </c>
      <c r="J14" s="24">
        <f>F4</f>
        <v>3.351</v>
      </c>
      <c r="K14" s="24">
        <f>G4</f>
        <v>3.3559999999999999</v>
      </c>
    </row>
    <row r="15" spans="1:11" x14ac:dyDescent="0.25">
      <c r="E15" s="2"/>
      <c r="F15" s="2"/>
      <c r="G15" s="2"/>
      <c r="I15" s="23" t="str">
        <f>E6</f>
        <v>Cambistas</v>
      </c>
      <c r="J15" s="24">
        <f>F6</f>
        <v>3.3879999999999999</v>
      </c>
      <c r="K15" s="24">
        <f>G6</f>
        <v>3.3959999999999999</v>
      </c>
    </row>
    <row r="16" spans="1:11" x14ac:dyDescent="0.25">
      <c r="E16" s="2" t="s">
        <v>9</v>
      </c>
      <c r="F16" s="17">
        <v>3.33</v>
      </c>
      <c r="G16" s="17">
        <v>3.3370000000000002</v>
      </c>
      <c r="I16" s="23" t="str">
        <f>E8</f>
        <v>BCP</v>
      </c>
      <c r="J16" s="24">
        <f>F8</f>
        <v>3.2749999999999999</v>
      </c>
      <c r="K16" s="24">
        <f>G8</f>
        <v>3.415</v>
      </c>
    </row>
    <row r="17" spans="5:11" x14ac:dyDescent="0.25">
      <c r="E17" s="2"/>
      <c r="F17" s="2"/>
      <c r="G17" s="2"/>
      <c r="I17" s="23" t="str">
        <f>E10</f>
        <v>INTERBANK</v>
      </c>
      <c r="J17" s="24">
        <f>F10</f>
        <v>3.2749999999999999</v>
      </c>
      <c r="K17" s="24">
        <f>G10</f>
        <v>3.42</v>
      </c>
    </row>
    <row r="18" spans="5:11" x14ac:dyDescent="0.25">
      <c r="E18" s="2" t="s">
        <v>10</v>
      </c>
      <c r="F18" s="17">
        <v>3.2349999999999999</v>
      </c>
      <c r="G18" s="17">
        <v>3.375</v>
      </c>
    </row>
    <row r="19" spans="5:11" x14ac:dyDescent="0.25">
      <c r="E19" s="2"/>
      <c r="F19" s="2"/>
      <c r="G19" s="2"/>
    </row>
    <row r="20" spans="5:11" x14ac:dyDescent="0.25">
      <c r="E20" s="2" t="s">
        <v>11</v>
      </c>
      <c r="F20" s="17">
        <v>3.27</v>
      </c>
      <c r="G20" s="17">
        <v>3.375</v>
      </c>
    </row>
  </sheetData>
  <conditionalFormatting sqref="I4 I6 I8 I10">
    <cfRule type="dataBar" priority="11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{94178596-38B8-4B10-842C-9127B2C3C771}</x14:id>
        </ext>
      </extLst>
    </cfRule>
  </conditionalFormatting>
  <conditionalFormatting sqref="F4:G4 F6:G6 F8:G8 F10:G10">
    <cfRule type="iconSet" priority="8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J4:K4 J6:K6 J8:K8 J10:K10">
    <cfRule type="iconSet" priority="7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14:G14 F16:G16 F18:G18 F20:G20">
    <cfRule type="iconSet" priority="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top10" dxfId="7" priority="3" bottom="1" rank="1"/>
    <cfRule type="top10" dxfId="6" priority="4" rank="1"/>
    <cfRule type="dataBar" priority="5">
      <dataBar>
        <cfvo type="percent" val="0"/>
        <cfvo type="percent" val="100"/>
        <color rgb="FFFFB628"/>
      </dataBar>
      <extLst>
        <ext xmlns:x14="http://schemas.microsoft.com/office/spreadsheetml/2009/9/main" uri="{B025F937-C7B1-47D3-B67F-A62EFF666E3E}">
          <x14:id>{4B68CF8D-50AD-40EB-A77C-484C702AB83A}</x14:id>
        </ext>
      </extLst>
    </cfRule>
  </conditionalFormatting>
  <conditionalFormatting sqref="J14:K17">
    <cfRule type="iconSet" priority="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" right="0.7" top="0.75" bottom="0.75" header="0.3" footer="0.3"/>
  <pageSetup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178596-38B8-4B10-842C-9127B2C3C77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I4 I6 I8 I10</xm:sqref>
        </x14:conditionalFormatting>
        <x14:conditionalFormatting xmlns:xm="http://schemas.microsoft.com/office/excel/2006/main">
          <x14:cfRule type="dataBar" id="{4B68CF8D-50AD-40EB-A77C-484C702AB83A}">
            <x14:dataBar minLength="0" maxLength="100" border="1" negativeBarBorderColorSameAsPositive="0">
              <x14:cfvo type="percent">
                <xm:f>0</xm:f>
              </x14:cfvo>
              <x14:cfvo type="percent">
                <xm:f>100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F14:G14 F16:G16 F18:G18 F20:G20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2:S36"/>
  <sheetViews>
    <sheetView zoomScaleNormal="100" workbookViewId="0">
      <selection activeCell="Q9" sqref="Q9"/>
    </sheetView>
  </sheetViews>
  <sheetFormatPr baseColWidth="10" defaultRowHeight="15" x14ac:dyDescent="0.25"/>
  <cols>
    <col min="1" max="1" width="3.85546875" customWidth="1"/>
    <col min="2" max="2" width="7.85546875" bestFit="1" customWidth="1"/>
    <col min="3" max="3" width="6.28515625" customWidth="1"/>
    <col min="4" max="4" width="3.85546875" bestFit="1" customWidth="1"/>
    <col min="5" max="5" width="7.85546875" bestFit="1" customWidth="1"/>
    <col min="6" max="6" width="6.28515625" customWidth="1"/>
    <col min="7" max="7" width="3.85546875" bestFit="1" customWidth="1"/>
    <col min="8" max="8" width="7.85546875" bestFit="1" customWidth="1"/>
    <col min="9" max="9" width="6.28515625" customWidth="1"/>
    <col min="10" max="10" width="3.85546875" bestFit="1" customWidth="1"/>
    <col min="11" max="11" width="7.85546875" bestFit="1" customWidth="1"/>
    <col min="12" max="12" width="6.28515625" customWidth="1"/>
    <col min="13" max="13" width="6.5703125" customWidth="1"/>
    <col min="14" max="14" width="3.7109375" bestFit="1" customWidth="1"/>
    <col min="15" max="15" width="7.85546875" bestFit="1" customWidth="1"/>
    <col min="16" max="16" width="6.5703125" bestFit="1" customWidth="1"/>
  </cols>
  <sheetData>
    <row r="2" spans="1:19" ht="21" x14ac:dyDescent="0.35">
      <c r="A2" s="28" t="s">
        <v>18</v>
      </c>
      <c r="Q2" t="s">
        <v>24</v>
      </c>
    </row>
    <row r="3" spans="1:19" x14ac:dyDescent="0.25">
      <c r="A3" s="29">
        <f ca="1">TODAY()</f>
        <v>42636</v>
      </c>
      <c r="B3" s="29"/>
      <c r="C3" s="29"/>
      <c r="D3" s="29"/>
      <c r="E3" s="29"/>
      <c r="F3" s="29"/>
      <c r="G3" s="29"/>
      <c r="Q3" t="s">
        <v>20</v>
      </c>
    </row>
    <row r="4" spans="1:19" x14ac:dyDescent="0.25">
      <c r="Q4" t="s">
        <v>21</v>
      </c>
    </row>
    <row r="5" spans="1:19" x14ac:dyDescent="0.25">
      <c r="A5" s="7" t="s">
        <v>0</v>
      </c>
      <c r="B5" s="7" t="s">
        <v>1</v>
      </c>
      <c r="C5" s="7" t="s">
        <v>2</v>
      </c>
      <c r="D5" s="7" t="s">
        <v>0</v>
      </c>
      <c r="E5" s="7" t="s">
        <v>1</v>
      </c>
      <c r="F5" s="7" t="s">
        <v>2</v>
      </c>
      <c r="G5" s="7" t="s">
        <v>0</v>
      </c>
      <c r="H5" s="7" t="s">
        <v>1</v>
      </c>
      <c r="I5" s="7" t="s">
        <v>2</v>
      </c>
      <c r="J5" s="7" t="s">
        <v>0</v>
      </c>
      <c r="K5" s="7" t="s">
        <v>1</v>
      </c>
      <c r="L5" s="7" t="s">
        <v>2</v>
      </c>
      <c r="Q5" t="s">
        <v>29</v>
      </c>
    </row>
    <row r="6" spans="1:19" x14ac:dyDescent="0.25">
      <c r="A6" s="27">
        <v>1</v>
      </c>
      <c r="B6" s="27">
        <v>3.39</v>
      </c>
      <c r="C6" s="27">
        <v>3.395</v>
      </c>
      <c r="D6" s="3">
        <v>2</v>
      </c>
      <c r="E6" s="3">
        <v>3.3959999999999999</v>
      </c>
      <c r="F6" s="3">
        <v>3.399</v>
      </c>
      <c r="G6" s="27">
        <v>3</v>
      </c>
      <c r="H6" s="27">
        <v>3.3860000000000001</v>
      </c>
      <c r="I6" s="27">
        <v>3.391</v>
      </c>
      <c r="J6" s="3">
        <v>6</v>
      </c>
      <c r="K6" s="3">
        <v>3.3919999999999999</v>
      </c>
      <c r="L6" s="3">
        <v>3.399</v>
      </c>
      <c r="Q6" t="s">
        <v>22</v>
      </c>
    </row>
    <row r="7" spans="1:19" x14ac:dyDescent="0.25">
      <c r="A7" s="27">
        <v>7</v>
      </c>
      <c r="B7" s="27">
        <v>3.3690000000000002</v>
      </c>
      <c r="C7" s="27">
        <v>3.375</v>
      </c>
      <c r="D7" s="3">
        <v>8</v>
      </c>
      <c r="E7" s="3">
        <v>3.3559999999999999</v>
      </c>
      <c r="F7" s="3">
        <v>3.359</v>
      </c>
      <c r="G7" s="27">
        <v>9</v>
      </c>
      <c r="H7" s="27">
        <v>3.3679999999999999</v>
      </c>
      <c r="I7" s="27">
        <v>3.371</v>
      </c>
      <c r="J7" s="3">
        <v>10</v>
      </c>
      <c r="K7" s="3">
        <v>3.3820000000000001</v>
      </c>
      <c r="L7" s="3">
        <v>3.3860000000000001</v>
      </c>
      <c r="Q7" t="s">
        <v>23</v>
      </c>
    </row>
    <row r="8" spans="1:19" x14ac:dyDescent="0.25">
      <c r="A8" s="27">
        <v>13</v>
      </c>
      <c r="B8" s="27">
        <v>3.399</v>
      </c>
      <c r="C8" s="27">
        <v>3.4009999999999998</v>
      </c>
      <c r="D8" s="3">
        <v>14</v>
      </c>
      <c r="E8" s="3">
        <v>3.411</v>
      </c>
      <c r="F8" s="3">
        <v>3.4129999999999998</v>
      </c>
      <c r="G8" s="27">
        <v>15</v>
      </c>
      <c r="H8" s="27">
        <v>3.3940000000000001</v>
      </c>
      <c r="I8" s="27">
        <v>3.399</v>
      </c>
      <c r="J8" s="3">
        <v>16</v>
      </c>
      <c r="K8" s="3">
        <v>3.3849999999999998</v>
      </c>
      <c r="L8" s="3">
        <v>3.39</v>
      </c>
    </row>
    <row r="9" spans="1:19" x14ac:dyDescent="0.25">
      <c r="A9" s="27">
        <v>17</v>
      </c>
      <c r="B9" s="27">
        <v>3.3919999999999999</v>
      </c>
      <c r="C9" s="27">
        <v>3.3959999999999999</v>
      </c>
      <c r="D9" s="3">
        <v>20</v>
      </c>
      <c r="E9" s="3">
        <v>3.387</v>
      </c>
      <c r="F9" s="3">
        <v>3.39</v>
      </c>
      <c r="G9" s="27">
        <v>21</v>
      </c>
      <c r="H9" s="27">
        <v>3.3860000000000001</v>
      </c>
      <c r="I9" s="27">
        <v>3.3889999999999998</v>
      </c>
      <c r="J9" s="3">
        <v>22</v>
      </c>
      <c r="K9" s="3">
        <v>3.3740000000000001</v>
      </c>
      <c r="L9" s="3">
        <v>3.3809999999999998</v>
      </c>
    </row>
    <row r="10" spans="1:19" x14ac:dyDescent="0.25">
      <c r="A10" s="27">
        <v>23</v>
      </c>
      <c r="B10" s="27">
        <v>3.351</v>
      </c>
      <c r="C10" s="27">
        <v>3.3559999999999999</v>
      </c>
      <c r="D10" s="3"/>
      <c r="E10" s="3"/>
      <c r="F10" s="3"/>
      <c r="G10" s="27"/>
      <c r="H10" s="27"/>
      <c r="I10" s="27"/>
      <c r="J10" s="3"/>
      <c r="K10" s="3"/>
      <c r="L10" s="3"/>
    </row>
    <row r="11" spans="1:19" x14ac:dyDescent="0.25">
      <c r="A11" s="27"/>
      <c r="B11" s="27"/>
      <c r="C11" s="27"/>
      <c r="D11" s="3"/>
      <c r="E11" s="3"/>
      <c r="F11" s="3"/>
      <c r="G11" s="27"/>
      <c r="H11" s="27"/>
      <c r="I11" s="27"/>
      <c r="J11" s="3"/>
      <c r="K11" s="3"/>
      <c r="L11" s="3"/>
    </row>
    <row r="12" spans="1:19" x14ac:dyDescent="0.25">
      <c r="N12" s="9" t="s">
        <v>0</v>
      </c>
      <c r="O12" s="9" t="s">
        <v>1</v>
      </c>
      <c r="P12" s="9" t="s">
        <v>2</v>
      </c>
      <c r="S12" s="18">
        <v>3</v>
      </c>
    </row>
    <row r="13" spans="1:19" x14ac:dyDescent="0.25">
      <c r="N13" s="27">
        <v>1</v>
      </c>
      <c r="O13" s="27">
        <v>3.39</v>
      </c>
      <c r="P13" s="27">
        <v>3.395</v>
      </c>
      <c r="S13" s="2" t="s">
        <v>25</v>
      </c>
    </row>
    <row r="14" spans="1:19" x14ac:dyDescent="0.25">
      <c r="N14" s="3">
        <v>2</v>
      </c>
      <c r="O14" s="3">
        <v>3.3959999999999999</v>
      </c>
      <c r="P14" s="3">
        <v>3.399</v>
      </c>
      <c r="S14" s="2" t="s">
        <v>26</v>
      </c>
    </row>
    <row r="15" spans="1:19" x14ac:dyDescent="0.25">
      <c r="N15" s="27">
        <v>3</v>
      </c>
      <c r="O15" s="27">
        <v>3.3860000000000001</v>
      </c>
      <c r="P15" s="27">
        <v>3.391</v>
      </c>
      <c r="S15" s="2" t="s">
        <v>27</v>
      </c>
    </row>
    <row r="16" spans="1:19" x14ac:dyDescent="0.25">
      <c r="N16" s="3">
        <v>6</v>
      </c>
      <c r="O16" s="3">
        <v>3.3919999999999999</v>
      </c>
      <c r="P16" s="3">
        <v>3.399</v>
      </c>
      <c r="S16" s="2" t="s">
        <v>28</v>
      </c>
    </row>
    <row r="17" spans="14:19" x14ac:dyDescent="0.25">
      <c r="N17" s="27">
        <v>7</v>
      </c>
      <c r="O17" s="27">
        <v>3.3690000000000002</v>
      </c>
      <c r="P17" s="27">
        <v>3.375</v>
      </c>
      <c r="S17" s="2" t="s">
        <v>1</v>
      </c>
    </row>
    <row r="18" spans="14:19" x14ac:dyDescent="0.25">
      <c r="N18" s="3">
        <v>8</v>
      </c>
      <c r="O18" s="3">
        <v>3.3559999999999999</v>
      </c>
      <c r="P18" s="3">
        <v>3.359</v>
      </c>
      <c r="S18" s="2" t="s">
        <v>2</v>
      </c>
    </row>
    <row r="19" spans="14:19" x14ac:dyDescent="0.25">
      <c r="N19" s="27">
        <v>9</v>
      </c>
      <c r="O19" s="27">
        <v>3.3679999999999999</v>
      </c>
      <c r="P19" s="27">
        <v>3.371</v>
      </c>
    </row>
    <row r="20" spans="14:19" x14ac:dyDescent="0.25">
      <c r="N20" s="3">
        <v>10</v>
      </c>
      <c r="O20" s="3">
        <v>3.3820000000000001</v>
      </c>
      <c r="P20" s="3">
        <v>3.3860000000000001</v>
      </c>
    </row>
    <row r="21" spans="14:19" x14ac:dyDescent="0.25">
      <c r="N21" s="27">
        <v>13</v>
      </c>
      <c r="O21" s="27">
        <v>3.399</v>
      </c>
      <c r="P21" s="27">
        <v>3.4009999999999998</v>
      </c>
    </row>
    <row r="22" spans="14:19" x14ac:dyDescent="0.25">
      <c r="N22" s="3">
        <v>14</v>
      </c>
      <c r="O22" s="3">
        <v>3.411</v>
      </c>
      <c r="P22" s="3">
        <v>3.4129999999999998</v>
      </c>
    </row>
    <row r="23" spans="14:19" x14ac:dyDescent="0.25">
      <c r="N23" s="27">
        <v>15</v>
      </c>
      <c r="O23" s="27">
        <v>3.3940000000000001</v>
      </c>
      <c r="P23" s="27">
        <v>3.399</v>
      </c>
    </row>
    <row r="24" spans="14:19" x14ac:dyDescent="0.25">
      <c r="N24" s="3">
        <v>16</v>
      </c>
      <c r="O24" s="3">
        <v>3.3849999999999998</v>
      </c>
      <c r="P24" s="3">
        <v>3.39</v>
      </c>
    </row>
    <row r="25" spans="14:19" x14ac:dyDescent="0.25">
      <c r="N25" s="27">
        <v>17</v>
      </c>
      <c r="O25" s="27">
        <v>3.3919999999999999</v>
      </c>
      <c r="P25" s="27">
        <v>3.3959999999999999</v>
      </c>
    </row>
    <row r="26" spans="14:19" x14ac:dyDescent="0.25">
      <c r="N26" s="3">
        <v>20</v>
      </c>
      <c r="O26" s="3">
        <v>3.387</v>
      </c>
      <c r="P26" s="3">
        <v>3.39</v>
      </c>
    </row>
    <row r="27" spans="14:19" x14ac:dyDescent="0.25">
      <c r="N27" s="27">
        <v>21</v>
      </c>
      <c r="O27" s="27">
        <v>3.3860000000000001</v>
      </c>
      <c r="P27" s="27">
        <v>3.3889999999999998</v>
      </c>
    </row>
    <row r="28" spans="14:19" x14ac:dyDescent="0.25">
      <c r="N28" s="3">
        <v>22</v>
      </c>
      <c r="O28" s="3">
        <v>3.3740000000000001</v>
      </c>
      <c r="P28" s="3">
        <v>3.3809999999999998</v>
      </c>
    </row>
    <row r="29" spans="14:19" x14ac:dyDescent="0.25">
      <c r="N29" s="27">
        <v>23</v>
      </c>
      <c r="O29" s="27">
        <v>3.351</v>
      </c>
      <c r="P29" s="27">
        <v>3.3559999999999999</v>
      </c>
    </row>
    <row r="30" spans="14:19" x14ac:dyDescent="0.25">
      <c r="N30" s="3"/>
      <c r="O30" s="3"/>
      <c r="P30" s="3"/>
    </row>
    <row r="31" spans="14:19" x14ac:dyDescent="0.25">
      <c r="N31" s="27"/>
      <c r="O31" s="27"/>
      <c r="P31" s="27"/>
    </row>
    <row r="32" spans="14:19" x14ac:dyDescent="0.25">
      <c r="N32" s="3"/>
      <c r="O32" s="3"/>
      <c r="P32" s="3"/>
    </row>
    <row r="33" spans="14:16" x14ac:dyDescent="0.25">
      <c r="N33" s="27"/>
      <c r="O33" s="27"/>
      <c r="P33" s="27"/>
    </row>
    <row r="34" spans="14:16" x14ac:dyDescent="0.25">
      <c r="N34" s="3"/>
      <c r="O34" s="3"/>
      <c r="P34" s="3"/>
    </row>
    <row r="35" spans="14:16" x14ac:dyDescent="0.25">
      <c r="N35" s="27"/>
      <c r="O35" s="27"/>
      <c r="P35" s="27"/>
    </row>
    <row r="36" spans="14:16" x14ac:dyDescent="0.25">
      <c r="N36" s="3"/>
      <c r="O36" s="3"/>
      <c r="P36" s="3"/>
    </row>
  </sheetData>
  <mergeCells count="1">
    <mergeCell ref="A3:G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List Box 1">
              <controlPr defaultSize="0" autoLine="0" autoPict="0" macro="[0]!Lista">
                <anchor moveWithCells="1">
                  <from>
                    <xdr:col>16</xdr:col>
                    <xdr:colOff>200025</xdr:colOff>
                    <xdr:row>11</xdr:row>
                    <xdr:rowOff>66675</xdr:rowOff>
                  </from>
                  <to>
                    <xdr:col>17</xdr:col>
                    <xdr:colOff>657225</xdr:colOff>
                    <xdr:row>15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Dolar Web</vt:lpstr>
      <vt:lpstr>Dolar Sunat</vt:lpstr>
      <vt:lpstr>'Dolar Web'!cuantoestaeldolar.pe</vt:lpstr>
      <vt:lpstr>Dos</vt:lpstr>
      <vt:lpstr>Num</vt:lpstr>
      <vt:lpstr>'Dolar Sunat'!tcS01Alias</vt:lpstr>
      <vt:lpstr>Uno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Master</cp:lastModifiedBy>
  <dcterms:created xsi:type="dcterms:W3CDTF">2015-08-15T07:59:13Z</dcterms:created>
  <dcterms:modified xsi:type="dcterms:W3CDTF">2016-09-23T16:22:03Z</dcterms:modified>
</cp:coreProperties>
</file>