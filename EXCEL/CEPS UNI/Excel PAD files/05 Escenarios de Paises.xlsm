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Archivos Excel\Excel PAD\"/>
    </mc:Choice>
  </mc:AlternateContent>
  <bookViews>
    <workbookView xWindow="120" yWindow="105" windowWidth="15120" windowHeight="8010"/>
  </bookViews>
  <sheets>
    <sheet name="Datos" sheetId="3" r:id="rId1"/>
  </sheets>
  <definedNames>
    <definedName name="GF" localSheetId="0">#REF!</definedName>
    <definedName name="GF">#REF!</definedName>
    <definedName name="GV" localSheetId="0">#REF!</definedName>
    <definedName name="GV">#REF!</definedName>
    <definedName name="IGV">Datos!$D$16</definedName>
    <definedName name="IngNeto" localSheetId="0">#REF!</definedName>
    <definedName name="IngNeto">#REF!</definedName>
    <definedName name="Pais">Datos!$D$4</definedName>
    <definedName name="Paises">Datos!$G$6:$G$16</definedName>
    <definedName name="Prod" localSheetId="0">#REF!</definedName>
    <definedName name="Prod">#REF!</definedName>
    <definedName name="Rentabilidad">Datos!$D$19</definedName>
    <definedName name="Resumen">Datos!$H$19:$M$29</definedName>
    <definedName name="TotalGastos">Datos!$D$9</definedName>
    <definedName name="TotalIngresos">Datos!$D$14</definedName>
    <definedName name="Utilidad">Datos!$D$18</definedName>
    <definedName name="UtilidadSocio2">Datos!$D$23</definedName>
  </definedNames>
  <calcPr calcId="152511"/>
</workbook>
</file>

<file path=xl/calcChain.xml><?xml version="1.0" encoding="utf-8"?>
<calcChain xmlns="http://schemas.openxmlformats.org/spreadsheetml/2006/main">
  <c r="N19" i="3" l="1"/>
  <c r="N20" i="3"/>
  <c r="N21" i="3"/>
  <c r="N22" i="3"/>
  <c r="N23" i="3"/>
  <c r="N24" i="3"/>
  <c r="N25" i="3"/>
  <c r="N26" i="3"/>
  <c r="N27" i="3"/>
  <c r="N28" i="3"/>
  <c r="N29" i="3"/>
  <c r="C23" i="3" l="1"/>
  <c r="B8" i="3"/>
  <c r="B12" i="3" s="1"/>
  <c r="D7" i="3"/>
  <c r="D12" i="3" l="1"/>
  <c r="D13" i="3"/>
  <c r="D8" i="3"/>
  <c r="D9" i="3" s="1"/>
  <c r="D14" i="3" l="1"/>
  <c r="D16" i="3"/>
  <c r="D18" i="3" l="1"/>
  <c r="D19" i="3" l="1"/>
  <c r="D22" i="3"/>
  <c r="D23" i="3"/>
</calcChain>
</file>

<file path=xl/sharedStrings.xml><?xml version="1.0" encoding="utf-8"?>
<sst xmlns="http://schemas.openxmlformats.org/spreadsheetml/2006/main" count="59" uniqueCount="40">
  <si>
    <t>PRODUCCION</t>
  </si>
  <si>
    <t>Cantidad</t>
  </si>
  <si>
    <t>Costo Unit.</t>
  </si>
  <si>
    <t>Total</t>
  </si>
  <si>
    <t>Materiales</t>
  </si>
  <si>
    <t>Mano Obra</t>
  </si>
  <si>
    <t>Total Gastos</t>
  </si>
  <si>
    <t>VENTAS</t>
  </si>
  <si>
    <t>Ingreso Ventas</t>
  </si>
  <si>
    <t>Comision vendedor</t>
  </si>
  <si>
    <t>Total Ingresos</t>
  </si>
  <si>
    <t>Utilidad</t>
  </si>
  <si>
    <r>
      <t> </t>
    </r>
    <r>
      <rPr>
        <sz val="10"/>
        <rFont val="Arial"/>
        <family val="2"/>
      </rPr>
      <t>Argentina</t>
    </r>
  </si>
  <si>
    <r>
      <t> </t>
    </r>
    <r>
      <rPr>
        <sz val="10"/>
        <rFont val="Arial"/>
        <family val="2"/>
      </rPr>
      <t>Brasil</t>
    </r>
  </si>
  <si>
    <r>
      <t> </t>
    </r>
    <r>
      <rPr>
        <sz val="10"/>
        <rFont val="Arial"/>
        <family val="2"/>
      </rPr>
      <t>Chile</t>
    </r>
  </si>
  <si>
    <r>
      <t> </t>
    </r>
    <r>
      <rPr>
        <sz val="10"/>
        <rFont val="Arial"/>
        <family val="2"/>
      </rPr>
      <t>Colombia</t>
    </r>
  </si>
  <si>
    <r>
      <t> </t>
    </r>
    <r>
      <rPr>
        <sz val="10"/>
        <rFont val="Arial"/>
        <family val="2"/>
      </rPr>
      <t>Ecuador</t>
    </r>
  </si>
  <si>
    <r>
      <t> </t>
    </r>
    <r>
      <rPr>
        <sz val="10"/>
        <rFont val="Arial"/>
        <family val="2"/>
      </rPr>
      <t>Paraguay</t>
    </r>
  </si>
  <si>
    <r>
      <t> </t>
    </r>
    <r>
      <rPr>
        <sz val="10"/>
        <rFont val="Arial"/>
        <family val="2"/>
      </rPr>
      <t>Perú</t>
    </r>
  </si>
  <si>
    <t>IGV</t>
  </si>
  <si>
    <r>
      <t> </t>
    </r>
    <r>
      <rPr>
        <sz val="10"/>
        <rFont val="Arial"/>
        <family val="2"/>
      </rPr>
      <t>Uruguay</t>
    </r>
  </si>
  <si>
    <r>
      <t> </t>
    </r>
    <r>
      <rPr>
        <sz val="10"/>
        <rFont val="Arial"/>
        <family val="2"/>
      </rPr>
      <t>Venezuela</t>
    </r>
  </si>
  <si>
    <r>
      <t> </t>
    </r>
    <r>
      <rPr>
        <sz val="10"/>
        <rFont val="Arial"/>
        <family val="2"/>
      </rPr>
      <t>Guyana</t>
    </r>
  </si>
  <si>
    <t>Pais</t>
  </si>
  <si>
    <t>Impuesto</t>
  </si>
  <si>
    <t>Socio1</t>
  </si>
  <si>
    <t>Socio2</t>
  </si>
  <si>
    <t>Participación</t>
  </si>
  <si>
    <t>Costo Unit</t>
  </si>
  <si>
    <t>Precio Vta</t>
  </si>
  <si>
    <t>Precio Vta.</t>
  </si>
  <si>
    <t>% Socio1</t>
  </si>
  <si>
    <t>Inversion</t>
  </si>
  <si>
    <t>Comision</t>
  </si>
  <si>
    <t>Ingresos</t>
  </si>
  <si>
    <t>% Rentab.</t>
  </si>
  <si>
    <t>Escenarios para Varios Países</t>
  </si>
  <si>
    <r>
      <t> </t>
    </r>
    <r>
      <rPr>
        <sz val="10"/>
        <rFont val="Arial"/>
        <family val="2"/>
      </rPr>
      <t>Trinidad</t>
    </r>
  </si>
  <si>
    <t xml:space="preserve">Costos y Utilidad para el País:  </t>
  </si>
  <si>
    <t> Argentina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</si>
</sst>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S/.&quot;\ * #,##0.00_);_(&quot;S/.&quot;\ * \(#,##0.00\);_(&quot;S/.&quot;\ * &quot;-&quot;??_);_(@_)"/>
    <numFmt numFmtId="165" formatCode="_(* #,##0.00_);_(* \(#,##0.00\);_(* &quot;-&quot;??_);_(@_)"/>
    <numFmt numFmtId="166" formatCode="&quot;IGV&quot;\ 0%"/>
    <numFmt numFmtId="167" formatCode="0%;[Red]0%"/>
    <numFmt numFmtId="168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b/>
      <u/>
      <sz val="18"/>
      <color indexed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 Rounded MT Bold"/>
      <family val="2"/>
    </font>
  </fonts>
  <fills count="11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2" xfId="0" applyFill="1" applyBorder="1"/>
    <xf numFmtId="164" fontId="0" fillId="0" borderId="4" xfId="2" applyFont="1" applyBorder="1"/>
    <xf numFmtId="164" fontId="0" fillId="0" borderId="5" xfId="2" applyFont="1" applyBorder="1"/>
    <xf numFmtId="0" fontId="0" fillId="0" borderId="2" xfId="0" applyBorder="1" applyAlignment="1">
      <alignment horizontal="center"/>
    </xf>
    <xf numFmtId="165" fontId="0" fillId="0" borderId="6" xfId="1" applyFont="1" applyBorder="1"/>
    <xf numFmtId="165" fontId="0" fillId="0" borderId="2" xfId="1" applyFont="1" applyBorder="1"/>
    <xf numFmtId="0" fontId="0" fillId="6" borderId="2" xfId="0" applyFill="1" applyBorder="1"/>
    <xf numFmtId="164" fontId="0" fillId="0" borderId="2" xfId="2" applyFont="1" applyBorder="1"/>
    <xf numFmtId="164" fontId="4" fillId="0" borderId="2" xfId="2" applyFont="1" applyBorder="1"/>
    <xf numFmtId="9" fontId="0" fillId="0" borderId="0" xfId="0" applyNumberFormat="1" applyAlignment="1">
      <alignment horizontal="center"/>
    </xf>
    <xf numFmtId="164" fontId="0" fillId="0" borderId="0" xfId="2" applyFont="1"/>
    <xf numFmtId="0" fontId="0" fillId="8" borderId="2" xfId="0" applyFill="1" applyBorder="1"/>
    <xf numFmtId="164" fontId="5" fillId="0" borderId="5" xfId="2" applyFont="1" applyBorder="1"/>
    <xf numFmtId="0" fontId="5" fillId="8" borderId="0" xfId="0" applyFont="1" applyFill="1"/>
    <xf numFmtId="165" fontId="5" fillId="0" borderId="2" xfId="1" applyFont="1" applyBorder="1"/>
    <xf numFmtId="0" fontId="0" fillId="9" borderId="2" xfId="0" applyFill="1" applyBorder="1"/>
    <xf numFmtId="164" fontId="6" fillId="0" borderId="2" xfId="0" applyNumberFormat="1" applyFont="1" applyBorder="1"/>
    <xf numFmtId="9" fontId="4" fillId="0" borderId="2" xfId="3" applyFont="1" applyBorder="1"/>
    <xf numFmtId="0" fontId="4" fillId="0" borderId="2" xfId="0" applyFont="1" applyBorder="1" applyAlignment="1">
      <alignment horizontal="center"/>
    </xf>
    <xf numFmtId="0" fontId="0" fillId="0" borderId="2" xfId="0" applyFont="1" applyBorder="1" applyAlignment="1">
      <alignment horizontal="left" wrapText="1" indent="2"/>
    </xf>
    <xf numFmtId="0" fontId="5" fillId="0" borderId="2" xfId="0" applyFont="1" applyBorder="1" applyAlignment="1">
      <alignment horizontal="left" wrapText="1" indent="2"/>
    </xf>
    <xf numFmtId="0" fontId="0" fillId="0" borderId="1" xfId="0" applyFont="1" applyBorder="1" applyAlignment="1">
      <alignment horizontal="left" wrapText="1" indent="2"/>
    </xf>
    <xf numFmtId="9" fontId="5" fillId="0" borderId="2" xfId="0" applyNumberFormat="1" applyFont="1" applyBorder="1" applyAlignment="1">
      <alignment horizontal="center" wrapText="1"/>
    </xf>
    <xf numFmtId="166" fontId="0" fillId="0" borderId="4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 indent="1"/>
    </xf>
    <xf numFmtId="0" fontId="4" fillId="4" borderId="2" xfId="0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4" fillId="10" borderId="2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9" fontId="0" fillId="0" borderId="2" xfId="3" applyFont="1" applyBorder="1" applyAlignment="1">
      <alignment horizontal="center"/>
    </xf>
    <xf numFmtId="0" fontId="7" fillId="2" borderId="0" xfId="0" applyFont="1" applyFill="1"/>
    <xf numFmtId="0" fontId="7" fillId="7" borderId="0" xfId="0" applyFont="1" applyFill="1"/>
    <xf numFmtId="40" fontId="0" fillId="0" borderId="2" xfId="1" applyNumberFormat="1" applyFont="1" applyBorder="1"/>
    <xf numFmtId="167" fontId="0" fillId="0" borderId="2" xfId="3" applyNumberFormat="1" applyFont="1" applyBorder="1" applyAlignment="1">
      <alignment horizontal="center"/>
    </xf>
    <xf numFmtId="0" fontId="3" fillId="0" borderId="0" xfId="0" applyFont="1" applyAlignment="1">
      <alignment horizontal="left" indent="1"/>
    </xf>
    <xf numFmtId="168" fontId="0" fillId="0" borderId="3" xfId="1" applyNumberFormat="1" applyFont="1" applyBorder="1" applyAlignment="1">
      <alignment horizontal="center"/>
    </xf>
    <xf numFmtId="168" fontId="0" fillId="0" borderId="2" xfId="1" applyNumberFormat="1" applyFont="1" applyBorder="1" applyAlignment="1">
      <alignment horizontal="center"/>
    </xf>
    <xf numFmtId="40" fontId="0" fillId="0" borderId="0" xfId="0" applyNumberFormat="1"/>
    <xf numFmtId="0" fontId="2" fillId="0" borderId="0" xfId="0" applyFont="1" applyAlignment="1">
      <alignment horizont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Utilidades para varios Paises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Datos!$K$18</c:f>
              <c:strCache>
                <c:ptCount val="1"/>
                <c:pt idx="0">
                  <c:v>Utilidad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Datos!$G$19:$G$29</c:f>
              <c:strCache>
                <c:ptCount val="11"/>
                <c:pt idx="0">
                  <c:v> Argentina</c:v>
                </c:pt>
                <c:pt idx="1">
                  <c:v> Brasil</c:v>
                </c:pt>
                <c:pt idx="2">
                  <c:v> Chile</c:v>
                </c:pt>
                <c:pt idx="3">
                  <c:v> Colombia</c:v>
                </c:pt>
                <c:pt idx="4">
                  <c:v> Ecuador</c:v>
                </c:pt>
                <c:pt idx="5">
                  <c:v> Guyana</c:v>
                </c:pt>
                <c:pt idx="6">
                  <c:v> Paraguay</c:v>
                </c:pt>
                <c:pt idx="7">
                  <c:v> Perú</c:v>
                </c:pt>
                <c:pt idx="8">
                  <c:v> Trinidad</c:v>
                </c:pt>
                <c:pt idx="9">
                  <c:v> Uruguay</c:v>
                </c:pt>
                <c:pt idx="10">
                  <c:v> Venezuela</c:v>
                </c:pt>
              </c:strCache>
            </c:strRef>
          </c:cat>
          <c:val>
            <c:numRef>
              <c:f>Datos!$K$19:$K$29</c:f>
              <c:numCache>
                <c:formatCode>#,##0.00_);[Red]\(#,##0.00\)</c:formatCode>
                <c:ptCount val="11"/>
              </c:numCache>
            </c:numRef>
          </c:val>
        </c:ser>
        <c:ser>
          <c:idx val="1"/>
          <c:order val="1"/>
          <c:tx>
            <c:strRef>
              <c:f>Datos!$M$18</c:f>
              <c:strCache>
                <c:ptCount val="1"/>
                <c:pt idx="0">
                  <c:v>Socio2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Datos!$G$19:$G$29</c:f>
              <c:strCache>
                <c:ptCount val="11"/>
                <c:pt idx="0">
                  <c:v> Argentina</c:v>
                </c:pt>
                <c:pt idx="1">
                  <c:v> Brasil</c:v>
                </c:pt>
                <c:pt idx="2">
                  <c:v> Chile</c:v>
                </c:pt>
                <c:pt idx="3">
                  <c:v> Colombia</c:v>
                </c:pt>
                <c:pt idx="4">
                  <c:v> Ecuador</c:v>
                </c:pt>
                <c:pt idx="5">
                  <c:v> Guyana</c:v>
                </c:pt>
                <c:pt idx="6">
                  <c:v> Paraguay</c:v>
                </c:pt>
                <c:pt idx="7">
                  <c:v> Perú</c:v>
                </c:pt>
                <c:pt idx="8">
                  <c:v> Trinidad</c:v>
                </c:pt>
                <c:pt idx="9">
                  <c:v> Uruguay</c:v>
                </c:pt>
                <c:pt idx="10">
                  <c:v> Venezuela</c:v>
                </c:pt>
              </c:strCache>
            </c:strRef>
          </c:cat>
          <c:val>
            <c:numRef>
              <c:f>Datos!$M$19:$M$29</c:f>
              <c:numCache>
                <c:formatCode>#,##0.00_);[Red]\(#,##0.00\)</c:formatCode>
                <c:ptCount val="1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74592"/>
        <c:axId val="205174976"/>
      </c:barChart>
      <c:catAx>
        <c:axId val="205174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s-PE"/>
          </a:p>
        </c:txPr>
        <c:crossAx val="205174976"/>
        <c:crossesAt val="0"/>
        <c:auto val="1"/>
        <c:lblAlgn val="ctr"/>
        <c:lblOffset val="100"/>
        <c:noMultiLvlLbl val="0"/>
      </c:catAx>
      <c:valAx>
        <c:axId val="205174976"/>
        <c:scaling>
          <c:orientation val="minMax"/>
        </c:scaling>
        <c:delete val="0"/>
        <c:axPos val="l"/>
        <c:majorGridlines/>
        <c:numFmt formatCode="#,##0_ ;[Red]\-#,##0\ " sourceLinked="0"/>
        <c:majorTickMark val="out"/>
        <c:minorTickMark val="none"/>
        <c:tickLblPos val="nextTo"/>
        <c:crossAx val="2051745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16200000" scaled="0"/>
    </a:gra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5</xdr:row>
      <xdr:rowOff>19050</xdr:rowOff>
    </xdr:from>
    <xdr:to>
      <xdr:col>6</xdr:col>
      <xdr:colOff>228600</xdr:colOff>
      <xdr:row>5</xdr:row>
      <xdr:rowOff>142875</xdr:rowOff>
    </xdr:to>
    <xdr:pic>
      <xdr:nvPicPr>
        <xdr:cNvPr id="6" name="Picture 4" descr="Bandera de Argentin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62550" y="9124950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6</xdr:row>
      <xdr:rowOff>19050</xdr:rowOff>
    </xdr:from>
    <xdr:to>
      <xdr:col>6</xdr:col>
      <xdr:colOff>228600</xdr:colOff>
      <xdr:row>6</xdr:row>
      <xdr:rowOff>152400</xdr:rowOff>
    </xdr:to>
    <xdr:pic>
      <xdr:nvPicPr>
        <xdr:cNvPr id="7" name="Picture 5" descr="Bandera de Brasi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162550" y="9286875"/>
          <a:ext cx="190500" cy="1333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7</xdr:row>
      <xdr:rowOff>19050</xdr:rowOff>
    </xdr:from>
    <xdr:to>
      <xdr:col>6</xdr:col>
      <xdr:colOff>228600</xdr:colOff>
      <xdr:row>7</xdr:row>
      <xdr:rowOff>142875</xdr:rowOff>
    </xdr:to>
    <xdr:pic>
      <xdr:nvPicPr>
        <xdr:cNvPr id="8" name="Picture 6" descr="Bandera de Chil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162550" y="9448800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8</xdr:row>
      <xdr:rowOff>19050</xdr:rowOff>
    </xdr:from>
    <xdr:to>
      <xdr:col>6</xdr:col>
      <xdr:colOff>228600</xdr:colOff>
      <xdr:row>8</xdr:row>
      <xdr:rowOff>142875</xdr:rowOff>
    </xdr:to>
    <xdr:pic>
      <xdr:nvPicPr>
        <xdr:cNvPr id="9" name="Picture 7" descr="Bandera de Colombia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162550" y="9610725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9</xdr:row>
      <xdr:rowOff>19050</xdr:rowOff>
    </xdr:from>
    <xdr:to>
      <xdr:col>6</xdr:col>
      <xdr:colOff>228600</xdr:colOff>
      <xdr:row>9</xdr:row>
      <xdr:rowOff>114300</xdr:rowOff>
    </xdr:to>
    <xdr:pic>
      <xdr:nvPicPr>
        <xdr:cNvPr id="10" name="Picture 8" descr="Bandera de Ecuador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162550" y="9772650"/>
          <a:ext cx="190500" cy="952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10</xdr:row>
      <xdr:rowOff>19050</xdr:rowOff>
    </xdr:from>
    <xdr:to>
      <xdr:col>6</xdr:col>
      <xdr:colOff>228600</xdr:colOff>
      <xdr:row>10</xdr:row>
      <xdr:rowOff>133350</xdr:rowOff>
    </xdr:to>
    <xdr:pic>
      <xdr:nvPicPr>
        <xdr:cNvPr id="11" name="Picture 9" descr="Bandera de Guyan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5162550" y="9934575"/>
          <a:ext cx="19050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11</xdr:row>
      <xdr:rowOff>19050</xdr:rowOff>
    </xdr:from>
    <xdr:to>
      <xdr:col>6</xdr:col>
      <xdr:colOff>228600</xdr:colOff>
      <xdr:row>11</xdr:row>
      <xdr:rowOff>133350</xdr:rowOff>
    </xdr:to>
    <xdr:pic>
      <xdr:nvPicPr>
        <xdr:cNvPr id="12" name="Picture 10" descr="Bandera de Paraguay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162550" y="10096500"/>
          <a:ext cx="19050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12</xdr:row>
      <xdr:rowOff>19050</xdr:rowOff>
    </xdr:from>
    <xdr:to>
      <xdr:col>6</xdr:col>
      <xdr:colOff>228600</xdr:colOff>
      <xdr:row>12</xdr:row>
      <xdr:rowOff>142875</xdr:rowOff>
    </xdr:to>
    <xdr:pic>
      <xdr:nvPicPr>
        <xdr:cNvPr id="13" name="Picture 11" descr="Bandera del Perú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5162550" y="10258425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13</xdr:row>
      <xdr:rowOff>19050</xdr:rowOff>
    </xdr:from>
    <xdr:to>
      <xdr:col>6</xdr:col>
      <xdr:colOff>228600</xdr:colOff>
      <xdr:row>13</xdr:row>
      <xdr:rowOff>133350</xdr:rowOff>
    </xdr:to>
    <xdr:pic>
      <xdr:nvPicPr>
        <xdr:cNvPr id="14" name="Picture 12" descr="Bandera de Trinidad y Tobago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162550" y="10420350"/>
          <a:ext cx="19050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14</xdr:row>
      <xdr:rowOff>19050</xdr:rowOff>
    </xdr:from>
    <xdr:to>
      <xdr:col>6</xdr:col>
      <xdr:colOff>228600</xdr:colOff>
      <xdr:row>14</xdr:row>
      <xdr:rowOff>142875</xdr:rowOff>
    </xdr:to>
    <xdr:pic>
      <xdr:nvPicPr>
        <xdr:cNvPr id="15" name="Picture 13" descr="Bandera de Uruguay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162550" y="10582275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15</xdr:row>
      <xdr:rowOff>19050</xdr:rowOff>
    </xdr:from>
    <xdr:to>
      <xdr:col>6</xdr:col>
      <xdr:colOff>228600</xdr:colOff>
      <xdr:row>15</xdr:row>
      <xdr:rowOff>142875</xdr:rowOff>
    </xdr:to>
    <xdr:pic>
      <xdr:nvPicPr>
        <xdr:cNvPr id="16" name="Picture 14" descr="Bandera de Venezuela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162550" y="10744200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18</xdr:row>
      <xdr:rowOff>19050</xdr:rowOff>
    </xdr:from>
    <xdr:to>
      <xdr:col>6</xdr:col>
      <xdr:colOff>228600</xdr:colOff>
      <xdr:row>18</xdr:row>
      <xdr:rowOff>142875</xdr:rowOff>
    </xdr:to>
    <xdr:pic macro="[0]!MostrarArgentina">
      <xdr:nvPicPr>
        <xdr:cNvPr id="28" name="Argentina" descr="Bandera de Argentin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72100" y="2061998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19</xdr:row>
      <xdr:rowOff>19050</xdr:rowOff>
    </xdr:from>
    <xdr:to>
      <xdr:col>6</xdr:col>
      <xdr:colOff>228600</xdr:colOff>
      <xdr:row>19</xdr:row>
      <xdr:rowOff>152400</xdr:rowOff>
    </xdr:to>
    <xdr:pic macro="[0]!MostrarBrasil">
      <xdr:nvPicPr>
        <xdr:cNvPr id="29" name="Brasil" descr="Bandera de Brasi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372100" y="2245929"/>
          <a:ext cx="190500" cy="1333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20</xdr:row>
      <xdr:rowOff>19050</xdr:rowOff>
    </xdr:from>
    <xdr:to>
      <xdr:col>6</xdr:col>
      <xdr:colOff>228600</xdr:colOff>
      <xdr:row>20</xdr:row>
      <xdr:rowOff>142875</xdr:rowOff>
    </xdr:to>
    <xdr:pic macro="[0]!MostrarChile">
      <xdr:nvPicPr>
        <xdr:cNvPr id="30" name="Chile" descr="Bandera de Chil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372100" y="2416722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21</xdr:row>
      <xdr:rowOff>19050</xdr:rowOff>
    </xdr:from>
    <xdr:to>
      <xdr:col>6</xdr:col>
      <xdr:colOff>228600</xdr:colOff>
      <xdr:row>21</xdr:row>
      <xdr:rowOff>142875</xdr:rowOff>
    </xdr:to>
    <xdr:pic macro="[0]!MostrarColombia">
      <xdr:nvPicPr>
        <xdr:cNvPr id="31" name="Colombia" descr="Bandera de Colombia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372100" y="2580947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22</xdr:row>
      <xdr:rowOff>19050</xdr:rowOff>
    </xdr:from>
    <xdr:to>
      <xdr:col>6</xdr:col>
      <xdr:colOff>228600</xdr:colOff>
      <xdr:row>22</xdr:row>
      <xdr:rowOff>114300</xdr:rowOff>
    </xdr:to>
    <xdr:pic macro="[0]!MostrarEcuador">
      <xdr:nvPicPr>
        <xdr:cNvPr id="32" name="Ecuador" descr="Bandera de Ecuador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372100" y="2751740"/>
          <a:ext cx="190500" cy="952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23</xdr:row>
      <xdr:rowOff>19050</xdr:rowOff>
    </xdr:from>
    <xdr:to>
      <xdr:col>6</xdr:col>
      <xdr:colOff>228600</xdr:colOff>
      <xdr:row>23</xdr:row>
      <xdr:rowOff>133350</xdr:rowOff>
    </xdr:to>
    <xdr:pic macro="[0]!MostrarGuyana">
      <xdr:nvPicPr>
        <xdr:cNvPr id="33" name="Guyana" descr="Bandera de Guyan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5372100" y="2935671"/>
          <a:ext cx="19050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24</xdr:row>
      <xdr:rowOff>19050</xdr:rowOff>
    </xdr:from>
    <xdr:to>
      <xdr:col>6</xdr:col>
      <xdr:colOff>228600</xdr:colOff>
      <xdr:row>24</xdr:row>
      <xdr:rowOff>133350</xdr:rowOff>
    </xdr:to>
    <xdr:pic macro="[0]!MostrarParaguay">
      <xdr:nvPicPr>
        <xdr:cNvPr id="34" name="Paraguay" descr="Bandera de Paraguay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372100" y="3106464"/>
          <a:ext cx="19050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25</xdr:row>
      <xdr:rowOff>19050</xdr:rowOff>
    </xdr:from>
    <xdr:to>
      <xdr:col>6</xdr:col>
      <xdr:colOff>228600</xdr:colOff>
      <xdr:row>25</xdr:row>
      <xdr:rowOff>142875</xdr:rowOff>
    </xdr:to>
    <xdr:pic macro="[0]!MostrarPerú">
      <xdr:nvPicPr>
        <xdr:cNvPr id="35" name="Parú" descr="Bandera del Perú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5372100" y="3270688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26</xdr:row>
      <xdr:rowOff>19050</xdr:rowOff>
    </xdr:from>
    <xdr:to>
      <xdr:col>6</xdr:col>
      <xdr:colOff>228600</xdr:colOff>
      <xdr:row>26</xdr:row>
      <xdr:rowOff>133350</xdr:rowOff>
    </xdr:to>
    <xdr:pic macro="[0]!MostrarTrinidad">
      <xdr:nvPicPr>
        <xdr:cNvPr id="36" name="Trinidad" descr="Bandera de Trinidad y Tobago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372100" y="3434912"/>
          <a:ext cx="19050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27</xdr:row>
      <xdr:rowOff>19050</xdr:rowOff>
    </xdr:from>
    <xdr:to>
      <xdr:col>6</xdr:col>
      <xdr:colOff>228600</xdr:colOff>
      <xdr:row>27</xdr:row>
      <xdr:rowOff>142875</xdr:rowOff>
    </xdr:to>
    <xdr:pic macro="[0]!MostrarUruguay">
      <xdr:nvPicPr>
        <xdr:cNvPr id="37" name="Uruguay" descr="Bandera de Uruguay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372100" y="3599136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38100</xdr:colOff>
      <xdr:row>28</xdr:row>
      <xdr:rowOff>19050</xdr:rowOff>
    </xdr:from>
    <xdr:to>
      <xdr:col>6</xdr:col>
      <xdr:colOff>228600</xdr:colOff>
      <xdr:row>28</xdr:row>
      <xdr:rowOff>142875</xdr:rowOff>
    </xdr:to>
    <xdr:pic macro="[0]!MostrarVenezuela">
      <xdr:nvPicPr>
        <xdr:cNvPr id="38" name="Venezuela" descr="Bandera de Venezuela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372100" y="3763360"/>
          <a:ext cx="190500" cy="1238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133350</xdr:colOff>
      <xdr:row>1</xdr:row>
      <xdr:rowOff>133350</xdr:rowOff>
    </xdr:from>
    <xdr:to>
      <xdr:col>7</xdr:col>
      <xdr:colOff>316566</xdr:colOff>
      <xdr:row>3</xdr:row>
      <xdr:rowOff>76200</xdr:rowOff>
    </xdr:to>
    <xdr:sp macro="[0]!DatosEscenarios" textlink="">
      <xdr:nvSpPr>
        <xdr:cNvPr id="39" name="38 Rectángulo"/>
        <xdr:cNvSpPr/>
      </xdr:nvSpPr>
      <xdr:spPr>
        <a:xfrm>
          <a:off x="5381625" y="1524000"/>
          <a:ext cx="1247775" cy="2762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Datos Escenarios</a:t>
          </a:r>
        </a:p>
      </xdr:txBody>
    </xdr:sp>
    <xdr:clientData/>
  </xdr:twoCellAnchor>
  <xdr:twoCellAnchor>
    <xdr:from>
      <xdr:col>7</xdr:col>
      <xdr:colOff>438150</xdr:colOff>
      <xdr:row>1</xdr:row>
      <xdr:rowOff>133350</xdr:rowOff>
    </xdr:from>
    <xdr:to>
      <xdr:col>9</xdr:col>
      <xdr:colOff>161925</xdr:colOff>
      <xdr:row>3</xdr:row>
      <xdr:rowOff>76200</xdr:rowOff>
    </xdr:to>
    <xdr:sp macro="[0]!CrearResumen" textlink="">
      <xdr:nvSpPr>
        <xdr:cNvPr id="26" name="25 Rectángulo"/>
        <xdr:cNvSpPr/>
      </xdr:nvSpPr>
      <xdr:spPr>
        <a:xfrm>
          <a:off x="7134225" y="800100"/>
          <a:ext cx="1247775" cy="314325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Resumen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180975</xdr:rowOff>
        </xdr:from>
        <xdr:to>
          <xdr:col>3</xdr:col>
          <xdr:colOff>885825</xdr:colOff>
          <xdr:row>4</xdr:row>
          <xdr:rowOff>47625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100853</xdr:colOff>
      <xdr:row>29</xdr:row>
      <xdr:rowOff>135590</xdr:rowOff>
    </xdr:from>
    <xdr:to>
      <xdr:col>12</xdr:col>
      <xdr:colOff>739587</xdr:colOff>
      <xdr:row>46</xdr:row>
      <xdr:rowOff>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29"/>
  <sheetViews>
    <sheetView tabSelected="1" zoomScale="85" zoomScaleNormal="85" workbookViewId="0">
      <selection activeCell="H19" sqref="H19"/>
    </sheetView>
  </sheetViews>
  <sheetFormatPr baseColWidth="10" defaultRowHeight="12.75" x14ac:dyDescent="0.2"/>
  <cols>
    <col min="1" max="1" width="17.85546875" customWidth="1"/>
    <col min="3" max="3" width="13" bestFit="1" customWidth="1"/>
    <col min="4" max="4" width="15.28515625" customWidth="1"/>
    <col min="5" max="6" width="2.28515625" customWidth="1"/>
    <col min="7" max="7" width="16" customWidth="1"/>
  </cols>
  <sheetData>
    <row r="1" spans="1:13" ht="23.25" x14ac:dyDescent="0.35">
      <c r="A1" s="43" t="s">
        <v>36</v>
      </c>
      <c r="B1" s="43"/>
      <c r="C1" s="43"/>
      <c r="D1" s="43"/>
      <c r="E1" s="43"/>
      <c r="F1" s="43"/>
      <c r="G1" s="43"/>
      <c r="H1" s="43"/>
      <c r="I1" s="43"/>
      <c r="J1" s="43"/>
    </row>
    <row r="3" spans="1:13" ht="15.75" x14ac:dyDescent="0.25">
      <c r="A3" s="1"/>
    </row>
    <row r="4" spans="1:13" ht="15.75" x14ac:dyDescent="0.25">
      <c r="A4" s="39" t="s">
        <v>38</v>
      </c>
      <c r="D4" t="s">
        <v>39</v>
      </c>
    </row>
    <row r="5" spans="1:13" x14ac:dyDescent="0.2">
      <c r="G5" s="22" t="s">
        <v>23</v>
      </c>
      <c r="H5" s="22" t="s">
        <v>28</v>
      </c>
      <c r="I5" s="22" t="s">
        <v>5</v>
      </c>
      <c r="J5" s="33" t="s">
        <v>29</v>
      </c>
      <c r="K5" s="33" t="s">
        <v>33</v>
      </c>
      <c r="L5" s="22" t="s">
        <v>24</v>
      </c>
      <c r="M5" s="33" t="s">
        <v>31</v>
      </c>
    </row>
    <row r="6" spans="1:13" ht="13.5" thickBot="1" x14ac:dyDescent="0.25">
      <c r="A6" s="35" t="s">
        <v>0</v>
      </c>
      <c r="B6" s="2" t="s">
        <v>1</v>
      </c>
      <c r="C6" s="2" t="s">
        <v>2</v>
      </c>
      <c r="D6" s="3" t="s">
        <v>3</v>
      </c>
      <c r="G6" s="23" t="s">
        <v>12</v>
      </c>
      <c r="H6" s="7">
        <v>16</v>
      </c>
      <c r="I6" s="7">
        <v>14</v>
      </c>
      <c r="J6" s="7">
        <v>54</v>
      </c>
      <c r="K6" s="7">
        <v>5</v>
      </c>
      <c r="L6" s="26">
        <v>0.21</v>
      </c>
      <c r="M6" s="34">
        <v>0.32999999999999996</v>
      </c>
    </row>
    <row r="7" spans="1:13" ht="14.25" thickTop="1" thickBot="1" x14ac:dyDescent="0.25">
      <c r="A7" s="4" t="s">
        <v>4</v>
      </c>
      <c r="B7" s="40">
        <v>12500</v>
      </c>
      <c r="C7" s="5">
        <v>16</v>
      </c>
      <c r="D7" s="6">
        <f>B7*C7</f>
        <v>200000</v>
      </c>
      <c r="G7" s="25" t="s">
        <v>13</v>
      </c>
      <c r="H7" s="7">
        <v>18</v>
      </c>
      <c r="I7" s="7">
        <v>7</v>
      </c>
      <c r="J7" s="7">
        <v>48</v>
      </c>
      <c r="K7" s="7">
        <v>6</v>
      </c>
      <c r="L7" s="26">
        <v>0.25</v>
      </c>
      <c r="M7" s="34">
        <v>0.37</v>
      </c>
    </row>
    <row r="8" spans="1:13" ht="13.5" thickTop="1" x14ac:dyDescent="0.2">
      <c r="A8" s="4" t="s">
        <v>5</v>
      </c>
      <c r="B8" s="41">
        <f>INT(B7*95%)</f>
        <v>11875</v>
      </c>
      <c r="C8" s="8">
        <v>14</v>
      </c>
      <c r="D8" s="9">
        <f>B8*C8</f>
        <v>166250</v>
      </c>
      <c r="G8" s="23" t="s">
        <v>14</v>
      </c>
      <c r="H8" s="7">
        <v>17</v>
      </c>
      <c r="I8" s="7">
        <v>11</v>
      </c>
      <c r="J8" s="7">
        <v>52</v>
      </c>
      <c r="K8" s="7">
        <v>10</v>
      </c>
      <c r="L8" s="26">
        <v>0.19</v>
      </c>
      <c r="M8" s="34">
        <v>0.36</v>
      </c>
    </row>
    <row r="9" spans="1:13" x14ac:dyDescent="0.2">
      <c r="A9" s="10" t="s">
        <v>6</v>
      </c>
      <c r="B9" s="7"/>
      <c r="C9" s="11"/>
      <c r="D9" s="12">
        <f>SUM(D7:D8)</f>
        <v>366250</v>
      </c>
      <c r="G9" s="23" t="s">
        <v>15</v>
      </c>
      <c r="H9" s="7">
        <v>11</v>
      </c>
      <c r="I9" s="7">
        <v>5</v>
      </c>
      <c r="J9" s="7">
        <v>57</v>
      </c>
      <c r="K9" s="7">
        <v>9</v>
      </c>
      <c r="L9" s="26">
        <v>0.16</v>
      </c>
      <c r="M9" s="34">
        <v>0.48</v>
      </c>
    </row>
    <row r="10" spans="1:13" x14ac:dyDescent="0.2">
      <c r="B10" s="13"/>
      <c r="C10" s="14"/>
      <c r="D10" s="14"/>
      <c r="G10" s="23" t="s">
        <v>16</v>
      </c>
      <c r="H10" s="7">
        <v>12</v>
      </c>
      <c r="I10" s="7">
        <v>8</v>
      </c>
      <c r="J10" s="7">
        <v>51</v>
      </c>
      <c r="K10" s="7">
        <v>5</v>
      </c>
      <c r="L10" s="26">
        <v>0.12</v>
      </c>
      <c r="M10" s="34">
        <v>0.47</v>
      </c>
    </row>
    <row r="11" spans="1:13" ht="13.5" thickBot="1" x14ac:dyDescent="0.25">
      <c r="A11" s="36" t="s">
        <v>7</v>
      </c>
      <c r="B11" s="2" t="s">
        <v>1</v>
      </c>
      <c r="C11" s="32" t="s">
        <v>30</v>
      </c>
      <c r="D11" s="3" t="s">
        <v>3</v>
      </c>
      <c r="G11" s="24" t="s">
        <v>22</v>
      </c>
      <c r="H11" s="7">
        <v>10</v>
      </c>
      <c r="I11" s="7">
        <v>11</v>
      </c>
      <c r="J11" s="7">
        <v>33</v>
      </c>
      <c r="K11" s="7">
        <v>10</v>
      </c>
      <c r="L11" s="26">
        <v>0.16</v>
      </c>
      <c r="M11" s="34">
        <v>0.78</v>
      </c>
    </row>
    <row r="12" spans="1:13" ht="14.25" thickTop="1" thickBot="1" x14ac:dyDescent="0.25">
      <c r="A12" s="15" t="s">
        <v>8</v>
      </c>
      <c r="B12" s="40">
        <f>INT(B8*90%)</f>
        <v>10687</v>
      </c>
      <c r="C12" s="5">
        <v>54</v>
      </c>
      <c r="D12" s="16">
        <f>B12*C12</f>
        <v>577098</v>
      </c>
      <c r="G12" s="23" t="s">
        <v>17</v>
      </c>
      <c r="H12" s="7">
        <v>16</v>
      </c>
      <c r="I12" s="7">
        <v>10</v>
      </c>
      <c r="J12" s="7">
        <v>42</v>
      </c>
      <c r="K12" s="7">
        <v>4</v>
      </c>
      <c r="L12" s="26">
        <v>0.1</v>
      </c>
      <c r="M12" s="34">
        <v>0.48</v>
      </c>
    </row>
    <row r="13" spans="1:13" ht="13.5" thickTop="1" x14ac:dyDescent="0.2">
      <c r="A13" s="17" t="s">
        <v>9</v>
      </c>
      <c r="B13" s="7"/>
      <c r="C13" s="8">
        <v>5</v>
      </c>
      <c r="D13" s="18">
        <f>B12*C13</f>
        <v>53435</v>
      </c>
      <c r="G13" s="23" t="s">
        <v>18</v>
      </c>
      <c r="H13" s="7">
        <v>14</v>
      </c>
      <c r="I13" s="7">
        <v>8</v>
      </c>
      <c r="J13" s="7">
        <v>49</v>
      </c>
      <c r="K13" s="7">
        <v>8</v>
      </c>
      <c r="L13" s="26">
        <v>0.18</v>
      </c>
      <c r="M13" s="34">
        <v>0.5</v>
      </c>
    </row>
    <row r="14" spans="1:13" x14ac:dyDescent="0.2">
      <c r="A14" s="19" t="s">
        <v>10</v>
      </c>
      <c r="B14" s="7"/>
      <c r="C14" s="11"/>
      <c r="D14" s="12">
        <f>D12-D13</f>
        <v>523663</v>
      </c>
      <c r="G14" s="24" t="s">
        <v>37</v>
      </c>
      <c r="H14" s="7">
        <v>15</v>
      </c>
      <c r="I14" s="7">
        <v>11</v>
      </c>
      <c r="J14" s="7">
        <v>49</v>
      </c>
      <c r="K14" s="7">
        <v>7</v>
      </c>
      <c r="L14" s="26">
        <v>0.15</v>
      </c>
      <c r="M14" s="34">
        <v>0.8</v>
      </c>
    </row>
    <row r="15" spans="1:13" ht="13.5" thickBot="1" x14ac:dyDescent="0.25">
      <c r="D15" s="14"/>
      <c r="G15" s="23" t="s">
        <v>20</v>
      </c>
      <c r="H15" s="7">
        <v>13</v>
      </c>
      <c r="I15" s="7">
        <v>7</v>
      </c>
      <c r="J15" s="7">
        <v>57</v>
      </c>
      <c r="K15" s="7">
        <v>5</v>
      </c>
      <c r="L15" s="26">
        <v>0.22</v>
      </c>
      <c r="M15" s="34">
        <v>0.49</v>
      </c>
    </row>
    <row r="16" spans="1:13" ht="14.25" thickTop="1" thickBot="1" x14ac:dyDescent="0.25">
      <c r="C16" s="27">
        <v>0.21</v>
      </c>
      <c r="D16" s="12">
        <f>D12*C16/(1+C16)</f>
        <v>100157.50413223141</v>
      </c>
      <c r="G16" s="23" t="s">
        <v>21</v>
      </c>
      <c r="H16" s="7">
        <v>19</v>
      </c>
      <c r="I16" s="7">
        <v>12</v>
      </c>
      <c r="J16" s="7">
        <v>40</v>
      </c>
      <c r="K16" s="7">
        <v>5</v>
      </c>
      <c r="L16" s="26">
        <v>0.12</v>
      </c>
      <c r="M16" s="34">
        <v>0.61</v>
      </c>
    </row>
    <row r="17" spans="2:14" ht="13.5" thickTop="1" x14ac:dyDescent="0.2"/>
    <row r="18" spans="2:14" x14ac:dyDescent="0.2">
      <c r="C18" s="29" t="s">
        <v>11</v>
      </c>
      <c r="D18" s="20">
        <f>D14-D16-D9</f>
        <v>57255.495867768594</v>
      </c>
      <c r="G18" s="22" t="s">
        <v>23</v>
      </c>
      <c r="H18" s="22" t="s">
        <v>32</v>
      </c>
      <c r="I18" s="33" t="s">
        <v>34</v>
      </c>
      <c r="J18" s="22" t="s">
        <v>19</v>
      </c>
      <c r="K18" s="33" t="s">
        <v>11</v>
      </c>
      <c r="L18" s="33" t="s">
        <v>35</v>
      </c>
      <c r="M18" s="33" t="s">
        <v>26</v>
      </c>
    </row>
    <row r="19" spans="2:14" x14ac:dyDescent="0.2">
      <c r="C19" s="22" t="s">
        <v>35</v>
      </c>
      <c r="D19" s="21">
        <f>D18/D9</f>
        <v>0.15632899895636476</v>
      </c>
      <c r="G19" s="23" t="s">
        <v>12</v>
      </c>
      <c r="H19" s="37"/>
      <c r="I19" s="37"/>
      <c r="J19" s="37"/>
      <c r="K19" s="37"/>
      <c r="L19" s="38"/>
      <c r="M19" s="37"/>
      <c r="N19" s="42">
        <f t="shared" ref="N19:N29" si="0">M19</f>
        <v>0</v>
      </c>
    </row>
    <row r="20" spans="2:14" x14ac:dyDescent="0.2">
      <c r="G20" s="25" t="s">
        <v>13</v>
      </c>
      <c r="H20" s="37"/>
      <c r="I20" s="37"/>
      <c r="J20" s="37"/>
      <c r="K20" s="37"/>
      <c r="L20" s="38"/>
      <c r="M20" s="37"/>
      <c r="N20" s="42">
        <f t="shared" si="0"/>
        <v>0</v>
      </c>
    </row>
    <row r="21" spans="2:14" x14ac:dyDescent="0.2">
      <c r="C21" s="31" t="s">
        <v>27</v>
      </c>
      <c r="D21" s="29" t="s">
        <v>11</v>
      </c>
      <c r="G21" s="23" t="s">
        <v>14</v>
      </c>
      <c r="H21" s="37"/>
      <c r="I21" s="37"/>
      <c r="J21" s="37"/>
      <c r="K21" s="37"/>
      <c r="L21" s="38"/>
      <c r="M21" s="37"/>
      <c r="N21" s="42">
        <f t="shared" si="0"/>
        <v>0</v>
      </c>
    </row>
    <row r="22" spans="2:14" x14ac:dyDescent="0.2">
      <c r="B22" s="28" t="s">
        <v>25</v>
      </c>
      <c r="C22" s="30">
        <v>0.33</v>
      </c>
      <c r="D22" s="20">
        <f>D18*C22</f>
        <v>18894.313636363637</v>
      </c>
      <c r="G22" s="23" t="s">
        <v>15</v>
      </c>
      <c r="H22" s="37"/>
      <c r="I22" s="37"/>
      <c r="J22" s="37"/>
      <c r="K22" s="37"/>
      <c r="L22" s="38"/>
      <c r="M22" s="37"/>
      <c r="N22" s="42">
        <f t="shared" si="0"/>
        <v>0</v>
      </c>
    </row>
    <row r="23" spans="2:14" x14ac:dyDescent="0.2">
      <c r="B23" s="28" t="s">
        <v>26</v>
      </c>
      <c r="C23" s="30">
        <f>1-C22</f>
        <v>0.66999999999999993</v>
      </c>
      <c r="D23" s="20">
        <f>D18*C23</f>
        <v>38361.182231404957</v>
      </c>
      <c r="G23" s="23" t="s">
        <v>16</v>
      </c>
      <c r="H23" s="37"/>
      <c r="I23" s="37"/>
      <c r="J23" s="37"/>
      <c r="K23" s="37"/>
      <c r="L23" s="38"/>
      <c r="M23" s="37"/>
      <c r="N23" s="42">
        <f t="shared" si="0"/>
        <v>0</v>
      </c>
    </row>
    <row r="24" spans="2:14" x14ac:dyDescent="0.2">
      <c r="G24" s="24" t="s">
        <v>22</v>
      </c>
      <c r="H24" s="37"/>
      <c r="I24" s="37"/>
      <c r="J24" s="37"/>
      <c r="K24" s="37"/>
      <c r="L24" s="38"/>
      <c r="M24" s="37"/>
      <c r="N24" s="42">
        <f t="shared" si="0"/>
        <v>0</v>
      </c>
    </row>
    <row r="25" spans="2:14" x14ac:dyDescent="0.2">
      <c r="G25" s="23" t="s">
        <v>17</v>
      </c>
      <c r="H25" s="37"/>
      <c r="I25" s="37"/>
      <c r="J25" s="37"/>
      <c r="K25" s="37"/>
      <c r="L25" s="38"/>
      <c r="M25" s="37"/>
      <c r="N25" s="42">
        <f t="shared" si="0"/>
        <v>0</v>
      </c>
    </row>
    <row r="26" spans="2:14" x14ac:dyDescent="0.2">
      <c r="G26" s="23" t="s">
        <v>18</v>
      </c>
      <c r="H26" s="37"/>
      <c r="I26" s="37"/>
      <c r="J26" s="37"/>
      <c r="K26" s="37"/>
      <c r="L26" s="38"/>
      <c r="M26" s="37"/>
      <c r="N26" s="42">
        <f t="shared" si="0"/>
        <v>0</v>
      </c>
    </row>
    <row r="27" spans="2:14" x14ac:dyDescent="0.2">
      <c r="G27" s="24" t="s">
        <v>37</v>
      </c>
      <c r="H27" s="37"/>
      <c r="I27" s="37"/>
      <c r="J27" s="37"/>
      <c r="K27" s="37"/>
      <c r="L27" s="38"/>
      <c r="M27" s="37"/>
      <c r="N27" s="42">
        <f t="shared" si="0"/>
        <v>0</v>
      </c>
    </row>
    <row r="28" spans="2:14" x14ac:dyDescent="0.2">
      <c r="G28" s="23" t="s">
        <v>20</v>
      </c>
      <c r="H28" s="37"/>
      <c r="I28" s="37"/>
      <c r="J28" s="37"/>
      <c r="K28" s="37"/>
      <c r="L28" s="38"/>
      <c r="M28" s="37"/>
      <c r="N28" s="42">
        <f t="shared" si="0"/>
        <v>0</v>
      </c>
    </row>
    <row r="29" spans="2:14" x14ac:dyDescent="0.2">
      <c r="G29" s="23" t="s">
        <v>21</v>
      </c>
      <c r="H29" s="37"/>
      <c r="I29" s="37"/>
      <c r="J29" s="37"/>
      <c r="K29" s="37"/>
      <c r="L29" s="38"/>
      <c r="M29" s="37"/>
      <c r="N29" s="42">
        <f t="shared" si="0"/>
        <v>0</v>
      </c>
    </row>
  </sheetData>
  <scenarios current="0" show="0" sqref="D9 D14 D16 D18 D19 D23">
    <scenario name=" Argentina" locked="1" count="6" user="user" comment="Creado por Ceps el 14/08/2009">
      <inputCells r="C7" val="16"/>
      <inputCells r="C8" val="14"/>
      <inputCells r="C12" val="54"/>
      <inputCells r="C13" val="5"/>
      <inputCells r="C16" val="0.21"/>
      <inputCells r="C22" val="0.33"/>
    </scenario>
    <scenario name=" Brasil" locked="1" count="6" user="user" comment="Creado por Ceps el 14/08/2009">
      <inputCells r="C7" val="18"/>
      <inputCells r="C8" val="7"/>
      <inputCells r="C12" val="48"/>
      <inputCells r="C13" val="6"/>
      <inputCells r="C16" val="0.25"/>
      <inputCells r="C22" val="0.37"/>
    </scenario>
    <scenario name=" Chile" locked="1" count="6" user="user" comment="Creado por Ceps el 14/08/2009">
      <inputCells r="C7" val="17"/>
      <inputCells r="C8" val="11"/>
      <inputCells r="C12" val="52"/>
      <inputCells r="C13" val="10"/>
      <inputCells r="C16" val="0.19"/>
      <inputCells r="C22" val="0.36"/>
    </scenario>
    <scenario name=" Colombia" locked="1" count="6" user="user" comment="Creado por Ceps el 14/08/2009">
      <inputCells r="C7" val="11"/>
      <inputCells r="C8" val="5"/>
      <inputCells r="C12" val="57"/>
      <inputCells r="C13" val="9"/>
      <inputCells r="C16" val="0.16"/>
      <inputCells r="C22" val="0.48"/>
    </scenario>
    <scenario name=" Ecuador" locked="1" count="6" user="user" comment="Creado por Ceps el 14/08/2009">
      <inputCells r="C7" val="12"/>
      <inputCells r="C8" val="8"/>
      <inputCells r="C12" val="51"/>
      <inputCells r="C13" val="5"/>
      <inputCells r="C16" val="0.12"/>
      <inputCells r="C22" val="0.47"/>
    </scenario>
    <scenario name=" Guyana" locked="1" count="6" user="user" comment="Creado por Ceps el 14/08/2009">
      <inputCells r="C7" val="10"/>
      <inputCells r="C8" val="11"/>
      <inputCells r="C12" val="33"/>
      <inputCells r="C13" val="10"/>
      <inputCells r="C16" val="0.16"/>
      <inputCells r="C22" val="0.78"/>
    </scenario>
    <scenario name=" Paraguay" locked="1" count="6" user="user" comment="Creado por Ceps el 14/08/2009">
      <inputCells r="C7" val="16"/>
      <inputCells r="C8" val="10"/>
      <inputCells r="C12" val="42"/>
      <inputCells r="C13" val="4"/>
      <inputCells r="C16" val="0.1"/>
      <inputCells r="C22" val="0.48"/>
    </scenario>
    <scenario name=" Perú" locked="1" count="6" user="user" comment="Creado por Ceps el 14/08/2009">
      <inputCells r="C7" val="14"/>
      <inputCells r="C8" val="8"/>
      <inputCells r="C12" val="49"/>
      <inputCells r="C13" val="8"/>
      <inputCells r="C16" val="0.18"/>
      <inputCells r="C22" val="0.5"/>
    </scenario>
    <scenario name=" Trinidad" locked="1" count="6" user="user" comment="Creado por Ceps el 14/08/2009">
      <inputCells r="C7" val="15"/>
      <inputCells r="C8" val="11"/>
      <inputCells r="C12" val="49"/>
      <inputCells r="C13" val="7"/>
      <inputCells r="C16" val="0.15"/>
      <inputCells r="C22" val="0.8"/>
    </scenario>
    <scenario name=" Uruguay" locked="1" count="6" user="user" comment="Creado por Ceps el 14/08/2009">
      <inputCells r="C7" val="13"/>
      <inputCells r="C8" val="7"/>
      <inputCells r="C12" val="57"/>
      <inputCells r="C13" val="5"/>
      <inputCells r="C16" val="0.22"/>
      <inputCells r="C22" val="0.49"/>
    </scenario>
    <scenario name=" Venezuela" locked="1" count="6" user="user" comment="Creado por Ceps el 14/08/2009">
      <inputCells r="C7" val="19"/>
      <inputCells r="C8" val="12"/>
      <inputCells r="C12" val="40"/>
      <inputCells r="C13" val="5"/>
      <inputCells r="C16" val="0.12"/>
      <inputCells r="C22" val="0.61"/>
    </scenario>
  </scenarios>
  <sortState ref="G19:M29">
    <sortCondition ref="G19"/>
  </sortState>
  <mergeCells count="1">
    <mergeCell ref="A1:J1"/>
  </mergeCells>
  <conditionalFormatting sqref="K19:K29">
    <cfRule type="dataBar" priority="5">
      <dataBar>
        <cfvo type="min"/>
        <cfvo type="max"/>
        <color rgb="FF63C384"/>
      </dataBar>
    </cfRule>
  </conditionalFormatting>
  <conditionalFormatting sqref="M19:M29">
    <cfRule type="dataBar" priority="4">
      <dataBar>
        <cfvo type="min"/>
        <cfvo type="max"/>
        <color rgb="FF008AEF"/>
      </dataBar>
    </cfRule>
  </conditionalFormatting>
  <conditionalFormatting sqref="L19:L29">
    <cfRule type="dataBar" priority="3">
      <dataBar>
        <cfvo type="min"/>
        <cfvo type="max"/>
        <color rgb="FFFF555A"/>
      </dataBar>
    </cfRule>
  </conditionalFormatting>
  <conditionalFormatting sqref="H19:H29">
    <cfRule type="dataBar" priority="2">
      <dataBar>
        <cfvo type="min"/>
        <cfvo type="max"/>
        <color rgb="FFFFB628"/>
      </dataBar>
    </cfRule>
  </conditionalFormatting>
  <conditionalFormatting sqref="N19:N29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{EC33595A-9AE8-431B-9AA0-47B09240FD33}</x14:id>
        </ext>
      </extLst>
    </cfRule>
  </conditionalFormatting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defaultSize="0" autoLine="0" linkedCell="Pais" listFillRange="Paises" r:id="rId5">
            <anchor moveWithCells="1">
              <from>
                <xdr:col>2</xdr:col>
                <xdr:colOff>666750</xdr:colOff>
                <xdr:row>2</xdr:row>
                <xdr:rowOff>180975</xdr:rowOff>
              </from>
              <to>
                <xdr:col>3</xdr:col>
                <xdr:colOff>914400</xdr:colOff>
                <xdr:row>4</xdr:row>
                <xdr:rowOff>38100</xdr:rowOff>
              </to>
            </anchor>
          </controlPr>
        </control>
      </mc:Choice>
      <mc:Fallback>
        <control shapeId="1027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33595A-9AE8-431B-9AA0-47B09240FD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N19:N29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9</vt:i4>
      </vt:variant>
    </vt:vector>
  </HeadingPairs>
  <TitlesOfParts>
    <vt:vector size="10" baseType="lpstr">
      <vt:lpstr>Datos</vt:lpstr>
      <vt:lpstr>IGV</vt:lpstr>
      <vt:lpstr>Pais</vt:lpstr>
      <vt:lpstr>Paises</vt:lpstr>
      <vt:lpstr>Rentabilidad</vt:lpstr>
      <vt:lpstr>Resumen</vt:lpstr>
      <vt:lpstr>TotalGastos</vt:lpstr>
      <vt:lpstr>TotalIngresos</vt:lpstr>
      <vt:lpstr>Utilidad</vt:lpstr>
      <vt:lpstr>UtilidadSocio2</vt:lpstr>
    </vt:vector>
  </TitlesOfParts>
  <Company>UNI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CEPS</dc:creator>
  <cp:lastModifiedBy>user</cp:lastModifiedBy>
  <dcterms:created xsi:type="dcterms:W3CDTF">2009-08-09T13:11:13Z</dcterms:created>
  <dcterms:modified xsi:type="dcterms:W3CDTF">2015-05-01T18:46:26Z</dcterms:modified>
</cp:coreProperties>
</file>