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Archivos Excel\Excel PAD\"/>
    </mc:Choice>
  </mc:AlternateContent>
  <bookViews>
    <workbookView xWindow="0" yWindow="90" windowWidth="6255" windowHeight="8385"/>
  </bookViews>
  <sheets>
    <sheet name="Planilla" sheetId="1" r:id="rId1"/>
    <sheet name="Boleta" sheetId="2" r:id="rId2"/>
  </sheets>
  <definedNames>
    <definedName name="Cod">Boleta!$D$5</definedName>
    <definedName name="Codigo">Planilla!$A$8:$A$37</definedName>
    <definedName name="Extra">Planilla!$I$8:$I$37</definedName>
    <definedName name="HorasExtras">Planilla!$H$7:$H$37</definedName>
    <definedName name="HorasTarde">Planilla!$J$8:$J$37</definedName>
    <definedName name="HorasTrab">Planilla!$F$8:$F$37</definedName>
    <definedName name="Ingreso">Planilla!$D$8:$D$37</definedName>
    <definedName name="Normal">Planilla!$G$8:$G$37</definedName>
    <definedName name="Obreros">Planilla!$N$1:$Q$6</definedName>
    <definedName name="Planilla">Planilla!$A$8:$L$37</definedName>
    <definedName name="Tardanza">Planilla!$K$8:$K$37</definedName>
  </definedNames>
  <calcPr calcId="152511"/>
</workbook>
</file>

<file path=xl/calcChain.xml><?xml version="1.0" encoding="utf-8"?>
<calcChain xmlns="http://schemas.openxmlformats.org/spreadsheetml/2006/main">
  <c r="E16" i="2" l="1"/>
  <c r="P2" i="1" l="1" a="1"/>
  <c r="P2" i="1" s="1"/>
  <c r="Q2" i="1" s="1"/>
  <c r="P3" i="1" a="1"/>
  <c r="P3" i="1" s="1"/>
  <c r="Q3" i="1" s="1"/>
  <c r="P4" i="1" a="1"/>
  <c r="P4" i="1" s="1"/>
  <c r="Q4" i="1" s="1"/>
  <c r="P5" i="1" a="1"/>
  <c r="P5" i="1" s="1"/>
  <c r="Q5" i="1" s="1"/>
  <c r="P6" i="1" a="1"/>
  <c r="P6" i="1" s="1"/>
  <c r="Q6" i="1" s="1"/>
  <c r="B9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8" i="1"/>
  <c r="D14" i="2"/>
  <c r="D12" i="2"/>
  <c r="D11" i="2"/>
</calcChain>
</file>

<file path=xl/comments1.xml><?xml version="1.0" encoding="utf-8"?>
<comments xmlns="http://schemas.openxmlformats.org/spreadsheetml/2006/main">
  <authors>
    <author>Daniel Zegarra</author>
  </authors>
  <commentList>
    <comment ref="D7" authorId="0" shapeId="0">
      <text>
        <r>
          <rPr>
            <sz val="6"/>
            <color indexed="81"/>
            <rFont val="Tahoma"/>
            <family val="2"/>
          </rPr>
          <t>=BUSCARV(D5,PLANILLA,2,0)</t>
        </r>
      </text>
    </comment>
    <comment ref="E9" authorId="0" shapeId="0">
      <text>
        <r>
          <rPr>
            <sz val="6"/>
            <color indexed="81"/>
            <rFont val="Tahoma"/>
            <family val="2"/>
          </rPr>
          <t>{=SUMA(SI((Codigo=D$5)*(Ingreso&gt;0),1,0))}</t>
        </r>
      </text>
    </comment>
    <comment ref="E11" authorId="0" shapeId="0">
      <text>
        <r>
          <rPr>
            <sz val="6"/>
            <color indexed="81"/>
            <rFont val="Tahoma"/>
            <family val="2"/>
          </rPr>
          <t>=SUMAR.SI(Codigo,Cod,Normal)</t>
        </r>
      </text>
    </comment>
    <comment ref="E12" authorId="0" shapeId="0">
      <text>
        <r>
          <rPr>
            <sz val="6"/>
            <color indexed="81"/>
            <rFont val="Tahoma"/>
            <family val="2"/>
          </rPr>
          <t>=SUMAR.SI(Codigo,Cod,Extra)</t>
        </r>
      </text>
    </comment>
    <comment ref="E13" authorId="0" shapeId="0">
      <text>
        <r>
          <rPr>
            <sz val="6"/>
            <color indexed="81"/>
            <rFont val="Tahoma"/>
            <family val="2"/>
          </rPr>
          <t>=(E9/6)*8*Planilla!K3</t>
        </r>
      </text>
    </comment>
    <comment ref="E14" authorId="0" shapeId="0">
      <text>
        <r>
          <rPr>
            <sz val="6"/>
            <color indexed="81"/>
            <rFont val="Tahoma"/>
            <family val="2"/>
          </rPr>
          <t>=SUMAR.SI(Codigo,Cod,Tardanza)</t>
        </r>
      </text>
    </comment>
  </commentList>
</comments>
</file>

<file path=xl/sharedStrings.xml><?xml version="1.0" encoding="utf-8"?>
<sst xmlns="http://schemas.openxmlformats.org/spreadsheetml/2006/main" count="37" uniqueCount="35">
  <si>
    <t>Codigo</t>
  </si>
  <si>
    <t>Apellidos y Nombres</t>
  </si>
  <si>
    <t>Hora de
Ingreso</t>
  </si>
  <si>
    <t>Hora de
Salida</t>
  </si>
  <si>
    <t>Horas
Extras</t>
  </si>
  <si>
    <t>Tardanza</t>
  </si>
  <si>
    <t>Pago
Total</t>
  </si>
  <si>
    <t>Fecha</t>
  </si>
  <si>
    <t>Torres Vera, Fernando</t>
  </si>
  <si>
    <t>Hora de ingreso</t>
  </si>
  <si>
    <t>Hora de Salida</t>
  </si>
  <si>
    <t>Taipe Miranda, Mario</t>
  </si>
  <si>
    <t>Boleta de Pago</t>
  </si>
  <si>
    <t>Pago Hora normal</t>
  </si>
  <si>
    <t>Pago Hora Extra</t>
  </si>
  <si>
    <t>Dcto minuto tardanza</t>
  </si>
  <si>
    <t>Garcia Juarez, Doris</t>
  </si>
  <si>
    <t>Nombre:</t>
  </si>
  <si>
    <t>Codigo:</t>
  </si>
  <si>
    <t>Dias Trabajados:</t>
  </si>
  <si>
    <t>Horas Normales:</t>
  </si>
  <si>
    <t>Horas Extras:</t>
  </si>
  <si>
    <t>Dominical:</t>
  </si>
  <si>
    <t>Tardanza:</t>
  </si>
  <si>
    <t>Pago Total:</t>
  </si>
  <si>
    <t>Linares Peralta, Laura</t>
  </si>
  <si>
    <t>Arias Torres, Susana</t>
  </si>
  <si>
    <t>Fabrica de Confecciones "La Alpaca"</t>
  </si>
  <si>
    <t>Planilla de Salarios de Obreros</t>
  </si>
  <si>
    <t>Obreros</t>
  </si>
  <si>
    <t>Horas
Normales</t>
  </si>
  <si>
    <t>Pago Horas Normales</t>
  </si>
  <si>
    <t>Pago Horas
Extras</t>
  </si>
  <si>
    <t>Dcto. por
Tardanza</t>
  </si>
  <si>
    <t>Dias Trabajados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</si>
</sst>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S/.&quot;\ * #,##0.00_);_(&quot;S/.&quot;\ * \(#,##0.00\);_(&quot;S/.&quot;\ * &quot;-&quot;??_);_(@_)"/>
    <numFmt numFmtId="165" formatCode="000"/>
    <numFmt numFmtId="166" formatCode="[hh]:mm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6"/>
      <color indexed="16"/>
      <name val="Arial"/>
      <family val="2"/>
    </font>
    <font>
      <b/>
      <sz val="18"/>
      <color indexed="16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sz val="6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20" fontId="2" fillId="3" borderId="1" xfId="0" applyNumberFormat="1" applyFont="1" applyFill="1" applyBorder="1" applyAlignment="1">
      <alignment horizontal="center"/>
    </xf>
    <xf numFmtId="164" fontId="0" fillId="0" borderId="1" xfId="1" applyFont="1" applyBorder="1"/>
    <xf numFmtId="164" fontId="2" fillId="4" borderId="1" xfId="1" applyFont="1" applyFill="1" applyBorder="1"/>
    <xf numFmtId="164" fontId="0" fillId="2" borderId="2" xfId="1" applyFont="1" applyFill="1" applyBorder="1"/>
    <xf numFmtId="164" fontId="0" fillId="2" borderId="3" xfId="1" applyFont="1" applyFill="1" applyBorder="1"/>
    <xf numFmtId="0" fontId="0" fillId="2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165" fontId="2" fillId="5" borderId="4" xfId="0" applyNumberFormat="1" applyFont="1" applyFill="1" applyBorder="1" applyAlignment="1">
      <alignment horizontal="center"/>
    </xf>
    <xf numFmtId="164" fontId="3" fillId="2" borderId="7" xfId="1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4" fillId="0" borderId="0" xfId="0" applyFont="1" applyBorder="1"/>
    <xf numFmtId="0" fontId="0" fillId="0" borderId="0" xfId="0" applyBorder="1"/>
    <xf numFmtId="0" fontId="0" fillId="0" borderId="12" xfId="0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2" fillId="2" borderId="4" xfId="0" applyNumberFormat="1" applyFont="1" applyFill="1" applyBorder="1"/>
    <xf numFmtId="165" fontId="0" fillId="0" borderId="1" xfId="0" applyNumberFormat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16" fontId="0" fillId="0" borderId="1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0" fillId="0" borderId="1" xfId="0" applyFill="1" applyBorder="1"/>
    <xf numFmtId="0" fontId="6" fillId="0" borderId="0" xfId="0" applyFont="1"/>
    <xf numFmtId="166" fontId="0" fillId="0" borderId="0" xfId="0" applyNumberForma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left" indent="1"/>
    </xf>
    <xf numFmtId="164" fontId="2" fillId="6" borderId="1" xfId="1" applyFont="1" applyFill="1" applyBorder="1"/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164" fontId="2" fillId="8" borderId="1" xfId="1" applyFont="1" applyFill="1" applyBorder="1"/>
    <xf numFmtId="164" fontId="6" fillId="0" borderId="1" xfId="1" applyFont="1" applyBorder="1"/>
    <xf numFmtId="0" fontId="6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mruColors>
      <color rgb="FFFFCCCC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16" fmlaLink="$D$5" max="10" min="1" page="1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95250</xdr:rowOff>
    </xdr:from>
    <xdr:to>
      <xdr:col>7</xdr:col>
      <xdr:colOff>613834</xdr:colOff>
      <xdr:row>4</xdr:row>
      <xdr:rowOff>74083</xdr:rowOff>
    </xdr:to>
    <xdr:sp macro="[0]!VerDiagrama" textlink="">
      <xdr:nvSpPr>
        <xdr:cNvPr id="2" name="1 Rectángulo"/>
        <xdr:cNvSpPr/>
      </xdr:nvSpPr>
      <xdr:spPr>
        <a:xfrm>
          <a:off x="5259917" y="624417"/>
          <a:ext cx="1111250" cy="296333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PE" sz="1100" b="1"/>
            <a:t>Ver Diagrama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207645</xdr:colOff>
      <xdr:row>2</xdr:row>
      <xdr:rowOff>76201</xdr:rowOff>
    </xdr:from>
    <xdr:to>
      <xdr:col>4</xdr:col>
      <xdr:colOff>610914</xdr:colOff>
      <xdr:row>5</xdr:row>
      <xdr:rowOff>1</xdr:rowOff>
    </xdr:to>
    <xdr:sp macro="" textlink="">
      <xdr:nvSpPr>
        <xdr:cNvPr id="1025" name="Foto" descr="Alum1"/>
        <xdr:cNvSpPr>
          <a:spLocks noChangeArrowheads="1"/>
        </xdr:cNvSpPr>
      </xdr:nvSpPr>
      <xdr:spPr bwMode="auto">
        <a:xfrm>
          <a:off x="2992886" y="411218"/>
          <a:ext cx="403269" cy="521576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>
              <a:alpha val="50000"/>
            </a:srgbClr>
          </a:outerShdw>
        </a:effec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152400</xdr:rowOff>
        </xdr:from>
        <xdr:to>
          <xdr:col>4</xdr:col>
          <xdr:colOff>171450</xdr:colOff>
          <xdr:row>5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37"/>
  <sheetViews>
    <sheetView tabSelected="1" zoomScale="115" zoomScaleNormal="115" workbookViewId="0">
      <selection activeCell="F8" sqref="F8"/>
    </sheetView>
  </sheetViews>
  <sheetFormatPr baseColWidth="10" defaultRowHeight="12.75" x14ac:dyDescent="0.2"/>
  <cols>
    <col min="1" max="1" width="11.5703125" bestFit="1" customWidth="1"/>
    <col min="2" max="2" width="21.5703125" customWidth="1"/>
    <col min="3" max="3" width="10.5703125" customWidth="1"/>
    <col min="4" max="5" width="9.42578125" customWidth="1"/>
    <col min="6" max="6" width="11.5703125" bestFit="1" customWidth="1"/>
    <col min="7" max="7" width="12.28515625" customWidth="1"/>
    <col min="8" max="10" width="11.7109375" bestFit="1" customWidth="1"/>
    <col min="11" max="11" width="14.140625" bestFit="1" customWidth="1"/>
    <col min="12" max="12" width="12.42578125" bestFit="1" customWidth="1"/>
    <col min="14" max="14" width="8.7109375" customWidth="1"/>
    <col min="15" max="15" width="24.85546875" customWidth="1"/>
  </cols>
  <sheetData>
    <row r="1" spans="1:17" ht="25.5" x14ac:dyDescent="0.35">
      <c r="A1" s="45" t="s">
        <v>28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N1" s="3" t="s">
        <v>0</v>
      </c>
      <c r="O1" s="3" t="s">
        <v>29</v>
      </c>
      <c r="P1" s="3" t="s">
        <v>34</v>
      </c>
      <c r="Q1" s="3" t="s">
        <v>6</v>
      </c>
    </row>
    <row r="2" spans="1:17" s="34" customFormat="1" ht="18" x14ac:dyDescent="0.25">
      <c r="A2" s="46" t="s">
        <v>27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N2" s="27">
        <v>1</v>
      </c>
      <c r="O2" s="1" t="s">
        <v>8</v>
      </c>
      <c r="P2" s="44">
        <f t="array" ref="P2">COUNT(IF((Codigo=N2)*(Ingreso&gt;0),Ingreso))</f>
        <v>5</v>
      </c>
      <c r="Q2" s="43">
        <f>SUMIF(A$8:A$37,N2,L$8:L$37)+(P2/6)*8*K$3</f>
        <v>35.333333333333336</v>
      </c>
    </row>
    <row r="3" spans="1:17" x14ac:dyDescent="0.2">
      <c r="I3" s="1" t="s">
        <v>13</v>
      </c>
      <c r="J3" s="1"/>
      <c r="K3" s="38">
        <v>5.3</v>
      </c>
      <c r="N3" s="27">
        <v>2</v>
      </c>
      <c r="O3" s="1" t="s">
        <v>16</v>
      </c>
      <c r="P3" s="44">
        <f t="array" ref="P3">COUNT(IF((Codigo=N3)*(Ingreso&gt;0),Ingreso))</f>
        <v>6</v>
      </c>
      <c r="Q3" s="43">
        <f t="shared" ref="Q3:Q6" si="0">SUMIF(A$8:A$37,N3,L$8:L$37)+(P3/6)*8*K$3</f>
        <v>42.4</v>
      </c>
    </row>
    <row r="4" spans="1:17" x14ac:dyDescent="0.2">
      <c r="B4" s="1" t="s">
        <v>9</v>
      </c>
      <c r="C4" s="4">
        <v>0.33333333333333331</v>
      </c>
      <c r="I4" s="1" t="s">
        <v>14</v>
      </c>
      <c r="J4" s="1"/>
      <c r="K4" s="6">
        <v>6</v>
      </c>
      <c r="N4" s="27">
        <v>3</v>
      </c>
      <c r="O4" s="1" t="s">
        <v>11</v>
      </c>
      <c r="P4" s="44">
        <f t="array" ref="P4">COUNT(IF((Codigo=N4)*(Ingreso&gt;0),Ingreso))</f>
        <v>5</v>
      </c>
      <c r="Q4" s="43">
        <f t="shared" si="0"/>
        <v>35.333333333333336</v>
      </c>
    </row>
    <row r="5" spans="1:17" x14ac:dyDescent="0.2">
      <c r="B5" s="1" t="s">
        <v>10</v>
      </c>
      <c r="C5" s="4">
        <v>0.70833333333333337</v>
      </c>
      <c r="I5" s="1" t="s">
        <v>15</v>
      </c>
      <c r="J5" s="1"/>
      <c r="K5" s="42">
        <v>0.2</v>
      </c>
      <c r="N5" s="27">
        <v>4</v>
      </c>
      <c r="O5" s="33" t="s">
        <v>25</v>
      </c>
      <c r="P5" s="44">
        <f t="array" ref="P5">COUNT(IF((Codigo=N5)*(Ingreso&gt;0),Ingreso))</f>
        <v>6</v>
      </c>
      <c r="Q5" s="43">
        <f t="shared" si="0"/>
        <v>42.4</v>
      </c>
    </row>
    <row r="6" spans="1:17" x14ac:dyDescent="0.2">
      <c r="N6" s="27">
        <v>5</v>
      </c>
      <c r="O6" s="33" t="s">
        <v>26</v>
      </c>
      <c r="P6" s="44">
        <f t="array" ref="P6">COUNT(IF((Codigo=N6)*(Ingreso&gt;0),Ingreso))</f>
        <v>5</v>
      </c>
      <c r="Q6" s="43">
        <f t="shared" si="0"/>
        <v>35.333333333333336</v>
      </c>
    </row>
    <row r="7" spans="1:17" ht="31.5" customHeight="1" x14ac:dyDescent="0.2">
      <c r="A7" s="2" t="s">
        <v>0</v>
      </c>
      <c r="B7" s="2" t="s">
        <v>1</v>
      </c>
      <c r="C7" s="2" t="s">
        <v>7</v>
      </c>
      <c r="D7" s="3" t="s">
        <v>2</v>
      </c>
      <c r="E7" s="3" t="s">
        <v>3</v>
      </c>
      <c r="F7" s="3" t="s">
        <v>30</v>
      </c>
      <c r="G7" s="39" t="s">
        <v>31</v>
      </c>
      <c r="H7" s="3" t="s">
        <v>4</v>
      </c>
      <c r="I7" s="40" t="s">
        <v>32</v>
      </c>
      <c r="J7" s="2" t="s">
        <v>5</v>
      </c>
      <c r="K7" s="41" t="s">
        <v>33</v>
      </c>
      <c r="L7" s="3" t="s">
        <v>6</v>
      </c>
    </row>
    <row r="8" spans="1:17" x14ac:dyDescent="0.2">
      <c r="A8" s="27">
        <v>1</v>
      </c>
      <c r="B8" s="1" t="str">
        <f t="shared" ref="B8:B37" si="1">VLOOKUP(A8,Obreros,2,0)</f>
        <v>Torres Vera, Fernando</v>
      </c>
      <c r="C8" s="31">
        <v>39027</v>
      </c>
      <c r="D8" s="28">
        <v>0.3576388888888889</v>
      </c>
      <c r="E8" s="28">
        <v>0.76041666666666663</v>
      </c>
      <c r="F8" s="28"/>
      <c r="G8" s="5"/>
      <c r="H8" s="28"/>
      <c r="I8" s="5"/>
      <c r="J8" s="28"/>
      <c r="K8" s="5"/>
      <c r="L8" s="29"/>
    </row>
    <row r="9" spans="1:17" x14ac:dyDescent="0.2">
      <c r="A9" s="27">
        <v>2</v>
      </c>
      <c r="B9" s="1" t="str">
        <f t="shared" si="1"/>
        <v>Garcia Juarez, Doris</v>
      </c>
      <c r="C9" s="31">
        <v>39027</v>
      </c>
      <c r="D9" s="28">
        <v>0.32916666666666666</v>
      </c>
      <c r="E9" s="28">
        <v>0.72152777777777777</v>
      </c>
      <c r="F9" s="28"/>
      <c r="G9" s="5"/>
      <c r="H9" s="28"/>
      <c r="I9" s="5"/>
      <c r="J9" s="28"/>
      <c r="K9" s="5"/>
      <c r="L9" s="29"/>
    </row>
    <row r="10" spans="1:17" x14ac:dyDescent="0.2">
      <c r="A10" s="27">
        <v>3</v>
      </c>
      <c r="B10" s="1" t="str">
        <f t="shared" si="1"/>
        <v>Taipe Miranda, Mario</v>
      </c>
      <c r="C10" s="31">
        <v>39027</v>
      </c>
      <c r="D10" s="30"/>
      <c r="E10" s="30"/>
      <c r="F10" s="28"/>
      <c r="G10" s="5"/>
      <c r="H10" s="28"/>
      <c r="I10" s="5"/>
      <c r="J10" s="28"/>
      <c r="K10" s="5"/>
      <c r="L10" s="29"/>
    </row>
    <row r="11" spans="1:17" x14ac:dyDescent="0.2">
      <c r="A11" s="32">
        <v>4</v>
      </c>
      <c r="B11" s="1" t="str">
        <f t="shared" si="1"/>
        <v>Linares Peralta, Laura</v>
      </c>
      <c r="C11" s="31">
        <v>39027</v>
      </c>
      <c r="D11" s="28">
        <v>0.31805555555555554</v>
      </c>
      <c r="E11" s="28">
        <v>0.71597222222222223</v>
      </c>
      <c r="F11" s="28"/>
      <c r="G11" s="5"/>
      <c r="H11" s="28"/>
      <c r="I11" s="5"/>
      <c r="J11" s="28"/>
      <c r="K11" s="5"/>
      <c r="L11" s="29"/>
    </row>
    <row r="12" spans="1:17" x14ac:dyDescent="0.2">
      <c r="A12" s="32">
        <v>5</v>
      </c>
      <c r="B12" s="1" t="str">
        <f t="shared" si="1"/>
        <v>Arias Torres, Susana</v>
      </c>
      <c r="C12" s="31">
        <v>39027</v>
      </c>
      <c r="D12" s="28">
        <v>0.33333333333333331</v>
      </c>
      <c r="E12" s="28">
        <v>0.73263888888888884</v>
      </c>
      <c r="F12" s="28"/>
      <c r="G12" s="5"/>
      <c r="H12" s="28"/>
      <c r="I12" s="5"/>
      <c r="J12" s="28"/>
      <c r="K12" s="5"/>
      <c r="L12" s="29"/>
    </row>
    <row r="13" spans="1:17" x14ac:dyDescent="0.2">
      <c r="A13" s="27">
        <v>1</v>
      </c>
      <c r="B13" s="1" t="str">
        <f t="shared" si="1"/>
        <v>Torres Vera, Fernando</v>
      </c>
      <c r="C13" s="31">
        <v>39028</v>
      </c>
      <c r="D13" s="28">
        <v>0.32916666666666666</v>
      </c>
      <c r="E13" s="28">
        <v>0.71111111111111114</v>
      </c>
      <c r="F13" s="28"/>
      <c r="G13" s="5"/>
      <c r="H13" s="28"/>
      <c r="I13" s="5"/>
      <c r="J13" s="28"/>
      <c r="K13" s="5"/>
      <c r="L13" s="29"/>
    </row>
    <row r="14" spans="1:17" x14ac:dyDescent="0.2">
      <c r="A14" s="27">
        <v>2</v>
      </c>
      <c r="B14" s="1" t="str">
        <f t="shared" si="1"/>
        <v>Garcia Juarez, Doris</v>
      </c>
      <c r="C14" s="31">
        <v>39028</v>
      </c>
      <c r="D14" s="28">
        <v>0.32291666666666669</v>
      </c>
      <c r="E14" s="28">
        <v>0.73611111111111116</v>
      </c>
      <c r="F14" s="28"/>
      <c r="G14" s="5"/>
      <c r="H14" s="28"/>
      <c r="I14" s="5"/>
      <c r="J14" s="28"/>
      <c r="K14" s="5"/>
      <c r="L14" s="29"/>
    </row>
    <row r="15" spans="1:17" x14ac:dyDescent="0.2">
      <c r="A15" s="27">
        <v>3</v>
      </c>
      <c r="B15" s="1" t="str">
        <f t="shared" si="1"/>
        <v>Taipe Miranda, Mario</v>
      </c>
      <c r="C15" s="31">
        <v>39028</v>
      </c>
      <c r="D15" s="28">
        <v>0.32222222222222224</v>
      </c>
      <c r="E15" s="28">
        <v>0.72152777777777777</v>
      </c>
      <c r="F15" s="28"/>
      <c r="G15" s="5"/>
      <c r="H15" s="28"/>
      <c r="I15" s="5"/>
      <c r="J15" s="28"/>
      <c r="K15" s="5"/>
      <c r="L15" s="29"/>
    </row>
    <row r="16" spans="1:17" x14ac:dyDescent="0.2">
      <c r="A16" s="32">
        <v>4</v>
      </c>
      <c r="B16" s="1" t="str">
        <f t="shared" si="1"/>
        <v>Linares Peralta, Laura</v>
      </c>
      <c r="C16" s="31">
        <v>39028</v>
      </c>
      <c r="D16" s="28">
        <v>0.3298611111111111</v>
      </c>
      <c r="E16" s="28">
        <v>0.71458333333333324</v>
      </c>
      <c r="F16" s="28"/>
      <c r="G16" s="5"/>
      <c r="H16" s="28"/>
      <c r="I16" s="5"/>
      <c r="J16" s="28"/>
      <c r="K16" s="5"/>
      <c r="L16" s="29"/>
    </row>
    <row r="17" spans="1:12" x14ac:dyDescent="0.2">
      <c r="A17" s="32">
        <v>5</v>
      </c>
      <c r="B17" s="1" t="str">
        <f t="shared" si="1"/>
        <v>Arias Torres, Susana</v>
      </c>
      <c r="C17" s="31">
        <v>39028</v>
      </c>
      <c r="D17" s="28">
        <v>0.34236111111111112</v>
      </c>
      <c r="E17" s="28">
        <v>0.74305555555555547</v>
      </c>
      <c r="F17" s="28"/>
      <c r="G17" s="5"/>
      <c r="H17" s="28"/>
      <c r="I17" s="5"/>
      <c r="J17" s="28"/>
      <c r="K17" s="5"/>
      <c r="L17" s="29"/>
    </row>
    <row r="18" spans="1:12" x14ac:dyDescent="0.2">
      <c r="A18" s="27">
        <v>1</v>
      </c>
      <c r="B18" s="1" t="str">
        <f t="shared" si="1"/>
        <v>Torres Vera, Fernando</v>
      </c>
      <c r="C18" s="31">
        <v>39029</v>
      </c>
      <c r="D18" s="28">
        <v>0.33958333333333335</v>
      </c>
      <c r="E18" s="28">
        <v>0.70833333333333337</v>
      </c>
      <c r="F18" s="28"/>
      <c r="G18" s="5"/>
      <c r="H18" s="28"/>
      <c r="I18" s="5"/>
      <c r="J18" s="28"/>
      <c r="K18" s="5"/>
      <c r="L18" s="29"/>
    </row>
    <row r="19" spans="1:12" x14ac:dyDescent="0.2">
      <c r="A19" s="27">
        <v>2</v>
      </c>
      <c r="B19" s="1" t="str">
        <f t="shared" si="1"/>
        <v>Garcia Juarez, Doris</v>
      </c>
      <c r="C19" s="31">
        <v>39029</v>
      </c>
      <c r="D19" s="28">
        <v>0.33333333333333331</v>
      </c>
      <c r="E19" s="28">
        <v>0.77430555555555547</v>
      </c>
      <c r="F19" s="28"/>
      <c r="G19" s="5"/>
      <c r="H19" s="28"/>
      <c r="I19" s="5"/>
      <c r="J19" s="28"/>
      <c r="K19" s="5"/>
      <c r="L19" s="29"/>
    </row>
    <row r="20" spans="1:12" x14ac:dyDescent="0.2">
      <c r="A20" s="27">
        <v>3</v>
      </c>
      <c r="B20" s="1" t="str">
        <f t="shared" si="1"/>
        <v>Taipe Miranda, Mario</v>
      </c>
      <c r="C20" s="31">
        <v>39029</v>
      </c>
      <c r="D20" s="28">
        <v>0.33333333333333331</v>
      </c>
      <c r="E20" s="28">
        <v>0.70972222222222225</v>
      </c>
      <c r="F20" s="28"/>
      <c r="G20" s="5"/>
      <c r="H20" s="28"/>
      <c r="I20" s="5"/>
      <c r="J20" s="28"/>
      <c r="K20" s="5"/>
      <c r="L20" s="29"/>
    </row>
    <row r="21" spans="1:12" x14ac:dyDescent="0.2">
      <c r="A21" s="32">
        <v>4</v>
      </c>
      <c r="B21" s="1" t="str">
        <f t="shared" si="1"/>
        <v>Linares Peralta, Laura</v>
      </c>
      <c r="C21" s="31">
        <v>39029</v>
      </c>
      <c r="D21" s="28">
        <v>0.33402777777777781</v>
      </c>
      <c r="E21" s="28">
        <v>0.76388888888888884</v>
      </c>
      <c r="F21" s="28"/>
      <c r="G21" s="5"/>
      <c r="H21" s="28"/>
      <c r="I21" s="5"/>
      <c r="J21" s="28"/>
      <c r="K21" s="5"/>
      <c r="L21" s="29"/>
    </row>
    <row r="22" spans="1:12" x14ac:dyDescent="0.2">
      <c r="A22" s="32">
        <v>5</v>
      </c>
      <c r="B22" s="1" t="str">
        <f t="shared" si="1"/>
        <v>Arias Torres, Susana</v>
      </c>
      <c r="C22" s="31">
        <v>39029</v>
      </c>
      <c r="D22" s="28">
        <v>0.32291666666666669</v>
      </c>
      <c r="E22" s="28">
        <v>0.77430555555555547</v>
      </c>
      <c r="F22" s="28"/>
      <c r="G22" s="5"/>
      <c r="H22" s="28"/>
      <c r="I22" s="5"/>
      <c r="J22" s="28"/>
      <c r="K22" s="5"/>
      <c r="L22" s="29"/>
    </row>
    <row r="23" spans="1:12" x14ac:dyDescent="0.2">
      <c r="A23" s="27">
        <v>1</v>
      </c>
      <c r="B23" s="1" t="str">
        <f t="shared" si="1"/>
        <v>Torres Vera, Fernando</v>
      </c>
      <c r="C23" s="31">
        <v>39030</v>
      </c>
      <c r="D23" s="28">
        <v>0.33333333333333331</v>
      </c>
      <c r="E23" s="28">
        <v>0.72916666666666663</v>
      </c>
      <c r="F23" s="28"/>
      <c r="G23" s="5"/>
      <c r="H23" s="28"/>
      <c r="I23" s="5"/>
      <c r="J23" s="28"/>
      <c r="K23" s="5"/>
      <c r="L23" s="29"/>
    </row>
    <row r="24" spans="1:12" x14ac:dyDescent="0.2">
      <c r="A24" s="27">
        <v>2</v>
      </c>
      <c r="B24" s="1" t="str">
        <f t="shared" si="1"/>
        <v>Garcia Juarez, Doris</v>
      </c>
      <c r="C24" s="31">
        <v>39030</v>
      </c>
      <c r="D24" s="28">
        <v>0.33263888888888887</v>
      </c>
      <c r="E24" s="28">
        <v>0.79166666666666663</v>
      </c>
      <c r="F24" s="28"/>
      <c r="G24" s="5"/>
      <c r="H24" s="28"/>
      <c r="I24" s="5"/>
      <c r="J24" s="28"/>
      <c r="K24" s="5"/>
      <c r="L24" s="29"/>
    </row>
    <row r="25" spans="1:12" x14ac:dyDescent="0.2">
      <c r="A25" s="27">
        <v>3</v>
      </c>
      <c r="B25" s="1" t="str">
        <f t="shared" si="1"/>
        <v>Taipe Miranda, Mario</v>
      </c>
      <c r="C25" s="31">
        <v>39030</v>
      </c>
      <c r="D25" s="28">
        <v>0.33263888888888887</v>
      </c>
      <c r="E25" s="28">
        <v>0.78472222222222221</v>
      </c>
      <c r="F25" s="28"/>
      <c r="G25" s="5"/>
      <c r="H25" s="28"/>
      <c r="I25" s="5"/>
      <c r="J25" s="28"/>
      <c r="K25" s="5"/>
      <c r="L25" s="29"/>
    </row>
    <row r="26" spans="1:12" x14ac:dyDescent="0.2">
      <c r="A26" s="32">
        <v>4</v>
      </c>
      <c r="B26" s="1" t="str">
        <f t="shared" si="1"/>
        <v>Linares Peralta, Laura</v>
      </c>
      <c r="C26" s="31">
        <v>39030</v>
      </c>
      <c r="D26" s="28">
        <v>0.3125</v>
      </c>
      <c r="E26" s="28">
        <v>0.72777777777777775</v>
      </c>
      <c r="F26" s="28"/>
      <c r="G26" s="5"/>
      <c r="H26" s="28"/>
      <c r="I26" s="5"/>
      <c r="J26" s="28"/>
      <c r="K26" s="5"/>
      <c r="L26" s="29"/>
    </row>
    <row r="27" spans="1:12" x14ac:dyDescent="0.2">
      <c r="A27" s="32">
        <v>5</v>
      </c>
      <c r="B27" s="1" t="str">
        <f t="shared" si="1"/>
        <v>Arias Torres, Susana</v>
      </c>
      <c r="C27" s="31">
        <v>39030</v>
      </c>
      <c r="D27" s="28">
        <v>0.38263888888888892</v>
      </c>
      <c r="E27" s="28">
        <v>0.79166666666666663</v>
      </c>
      <c r="F27" s="28"/>
      <c r="G27" s="5"/>
      <c r="H27" s="28"/>
      <c r="I27" s="5"/>
      <c r="J27" s="28"/>
      <c r="K27" s="5"/>
      <c r="L27" s="29"/>
    </row>
    <row r="28" spans="1:12" x14ac:dyDescent="0.2">
      <c r="A28" s="27">
        <v>1</v>
      </c>
      <c r="B28" s="1" t="str">
        <f t="shared" si="1"/>
        <v>Torres Vera, Fernando</v>
      </c>
      <c r="C28" s="31">
        <v>39031</v>
      </c>
      <c r="D28" s="28"/>
      <c r="E28" s="28"/>
      <c r="F28" s="28"/>
      <c r="G28" s="5"/>
      <c r="H28" s="28"/>
      <c r="I28" s="5"/>
      <c r="J28" s="28"/>
      <c r="K28" s="5"/>
      <c r="L28" s="29"/>
    </row>
    <row r="29" spans="1:12" x14ac:dyDescent="0.2">
      <c r="A29" s="27">
        <v>2</v>
      </c>
      <c r="B29" s="1" t="str">
        <f t="shared" si="1"/>
        <v>Garcia Juarez, Doris</v>
      </c>
      <c r="C29" s="31">
        <v>39031</v>
      </c>
      <c r="D29" s="28">
        <v>0.3263888888888889</v>
      </c>
      <c r="E29" s="28">
        <v>0.71180555555555547</v>
      </c>
      <c r="F29" s="28"/>
      <c r="G29" s="5"/>
      <c r="H29" s="28"/>
      <c r="I29" s="5"/>
      <c r="J29" s="28"/>
      <c r="K29" s="5"/>
      <c r="L29" s="29"/>
    </row>
    <row r="30" spans="1:12" x14ac:dyDescent="0.2">
      <c r="A30" s="27">
        <v>3</v>
      </c>
      <c r="B30" s="1" t="str">
        <f t="shared" si="1"/>
        <v>Taipe Miranda, Mario</v>
      </c>
      <c r="C30" s="31">
        <v>39031</v>
      </c>
      <c r="D30" s="28">
        <v>0.3263888888888889</v>
      </c>
      <c r="E30" s="28">
        <v>0.71875</v>
      </c>
      <c r="F30" s="28"/>
      <c r="G30" s="5"/>
      <c r="H30" s="28"/>
      <c r="I30" s="5"/>
      <c r="J30" s="28"/>
      <c r="K30" s="5"/>
      <c r="L30" s="29"/>
    </row>
    <row r="31" spans="1:12" x14ac:dyDescent="0.2">
      <c r="A31" s="32">
        <v>4</v>
      </c>
      <c r="B31" s="1" t="str">
        <f t="shared" si="1"/>
        <v>Linares Peralta, Laura</v>
      </c>
      <c r="C31" s="31">
        <v>39031</v>
      </c>
      <c r="D31" s="28">
        <v>0.33055555555555555</v>
      </c>
      <c r="E31" s="28">
        <v>0.71180555555555547</v>
      </c>
      <c r="F31" s="28"/>
      <c r="G31" s="5"/>
      <c r="H31" s="28"/>
      <c r="I31" s="5"/>
      <c r="J31" s="28"/>
      <c r="K31" s="5"/>
      <c r="L31" s="29"/>
    </row>
    <row r="32" spans="1:12" x14ac:dyDescent="0.2">
      <c r="A32" s="32">
        <v>5</v>
      </c>
      <c r="B32" s="1" t="str">
        <f t="shared" si="1"/>
        <v>Arias Torres, Susana</v>
      </c>
      <c r="C32" s="31">
        <v>39031</v>
      </c>
      <c r="D32" s="30"/>
      <c r="E32" s="30"/>
      <c r="F32" s="28"/>
      <c r="G32" s="5"/>
      <c r="H32" s="28"/>
      <c r="I32" s="5"/>
      <c r="J32" s="28"/>
      <c r="K32" s="5"/>
      <c r="L32" s="29"/>
    </row>
    <row r="33" spans="1:12" x14ac:dyDescent="0.2">
      <c r="A33" s="27">
        <v>1</v>
      </c>
      <c r="B33" s="1" t="str">
        <f t="shared" si="1"/>
        <v>Torres Vera, Fernando</v>
      </c>
      <c r="C33" s="31">
        <v>39032</v>
      </c>
      <c r="D33" s="28">
        <v>0.33611111111111108</v>
      </c>
      <c r="E33" s="28">
        <v>0.72291666666666676</v>
      </c>
      <c r="F33" s="28"/>
      <c r="G33" s="5"/>
      <c r="H33" s="28"/>
      <c r="I33" s="5"/>
      <c r="J33" s="28"/>
      <c r="K33" s="5"/>
      <c r="L33" s="29"/>
    </row>
    <row r="34" spans="1:12" x14ac:dyDescent="0.2">
      <c r="A34" s="27">
        <v>2</v>
      </c>
      <c r="B34" s="1" t="str">
        <f t="shared" si="1"/>
        <v>Garcia Juarez, Doris</v>
      </c>
      <c r="C34" s="31">
        <v>39032</v>
      </c>
      <c r="D34" s="28">
        <v>0.32847222222222222</v>
      </c>
      <c r="E34" s="28">
        <v>0.73124999999999996</v>
      </c>
      <c r="F34" s="28"/>
      <c r="G34" s="5"/>
      <c r="H34" s="28"/>
      <c r="I34" s="5"/>
      <c r="J34" s="28"/>
      <c r="K34" s="5"/>
      <c r="L34" s="29"/>
    </row>
    <row r="35" spans="1:12" x14ac:dyDescent="0.2">
      <c r="A35" s="27">
        <v>3</v>
      </c>
      <c r="B35" s="1" t="str">
        <f t="shared" si="1"/>
        <v>Taipe Miranda, Mario</v>
      </c>
      <c r="C35" s="31">
        <v>39032</v>
      </c>
      <c r="D35" s="28">
        <v>0.34166666666666662</v>
      </c>
      <c r="E35" s="28">
        <v>0.73611111111111116</v>
      </c>
      <c r="F35" s="28"/>
      <c r="G35" s="5"/>
      <c r="H35" s="28"/>
      <c r="I35" s="5"/>
      <c r="J35" s="28"/>
      <c r="K35" s="5"/>
      <c r="L35" s="29"/>
    </row>
    <row r="36" spans="1:12" x14ac:dyDescent="0.2">
      <c r="A36" s="32">
        <v>4</v>
      </c>
      <c r="B36" s="1" t="str">
        <f t="shared" si="1"/>
        <v>Linares Peralta, Laura</v>
      </c>
      <c r="C36" s="31">
        <v>39032</v>
      </c>
      <c r="D36" s="28">
        <v>0.33263888888888887</v>
      </c>
      <c r="E36" s="28">
        <v>0.71736111111111101</v>
      </c>
      <c r="F36" s="28"/>
      <c r="G36" s="5"/>
      <c r="H36" s="28"/>
      <c r="I36" s="5"/>
      <c r="J36" s="28"/>
      <c r="K36" s="5"/>
      <c r="L36" s="29"/>
    </row>
    <row r="37" spans="1:12" x14ac:dyDescent="0.2">
      <c r="A37" s="32">
        <v>5</v>
      </c>
      <c r="B37" s="1" t="str">
        <f t="shared" si="1"/>
        <v>Arias Torres, Susana</v>
      </c>
      <c r="C37" s="31">
        <v>39032</v>
      </c>
      <c r="D37" s="28">
        <v>0.32500000000000001</v>
      </c>
      <c r="E37" s="28">
        <v>0.72291666666666676</v>
      </c>
      <c r="F37" s="28"/>
      <c r="G37" s="5"/>
      <c r="H37" s="28"/>
      <c r="I37" s="5"/>
      <c r="J37" s="28"/>
      <c r="K37" s="5"/>
      <c r="L37" s="29"/>
    </row>
  </sheetData>
  <sortState ref="A8:L37">
    <sortCondition ref="C8"/>
  </sortState>
  <mergeCells count="2">
    <mergeCell ref="A1:L1"/>
    <mergeCell ref="A2:L2"/>
  </mergeCells>
  <phoneticPr fontId="0" type="noConversion"/>
  <pageMargins left="0.75" right="0.75" top="1" bottom="1" header="0" footer="0"/>
  <pageSetup paperSize="9" orientation="portrait" horizontalDpi="360" verticalDpi="36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G17"/>
  <sheetViews>
    <sheetView zoomScale="145" zoomScaleNormal="145" workbookViewId="0">
      <selection activeCell="D7" sqref="D7"/>
    </sheetView>
  </sheetViews>
  <sheetFormatPr baseColWidth="10" defaultRowHeight="12.75" x14ac:dyDescent="0.2"/>
  <cols>
    <col min="2" max="2" width="2.42578125" customWidth="1"/>
    <col min="3" max="3" width="16.42578125" customWidth="1"/>
    <col min="6" max="6" width="2.7109375" customWidth="1"/>
  </cols>
  <sheetData>
    <row r="1" spans="2:7" ht="13.5" thickBot="1" x14ac:dyDescent="0.25"/>
    <row r="2" spans="2:7" x14ac:dyDescent="0.2">
      <c r="B2" s="14"/>
      <c r="C2" s="15"/>
      <c r="D2" s="15"/>
      <c r="E2" s="15"/>
      <c r="F2" s="16"/>
    </row>
    <row r="3" spans="2:7" ht="20.25" x14ac:dyDescent="0.3">
      <c r="B3" s="17"/>
      <c r="C3" s="18" t="s">
        <v>12</v>
      </c>
      <c r="D3" s="19"/>
      <c r="E3" s="19"/>
      <c r="F3" s="20"/>
    </row>
    <row r="4" spans="2:7" ht="13.5" thickBot="1" x14ac:dyDescent="0.25">
      <c r="B4" s="17"/>
      <c r="C4" s="19"/>
      <c r="D4" s="19"/>
      <c r="E4" s="19"/>
      <c r="F4" s="20"/>
    </row>
    <row r="5" spans="2:7" ht="13.5" thickBot="1" x14ac:dyDescent="0.25">
      <c r="B5" s="17"/>
      <c r="C5" s="21" t="s">
        <v>18</v>
      </c>
      <c r="D5" s="12">
        <v>1</v>
      </c>
      <c r="E5" s="19"/>
      <c r="F5" s="20"/>
    </row>
    <row r="6" spans="2:7" ht="13.5" thickBot="1" x14ac:dyDescent="0.25">
      <c r="B6" s="17"/>
      <c r="C6" s="19"/>
      <c r="D6" s="19"/>
      <c r="E6" s="19"/>
      <c r="F6" s="20"/>
    </row>
    <row r="7" spans="2:7" ht="13.5" thickBot="1" x14ac:dyDescent="0.25">
      <c r="B7" s="17"/>
      <c r="C7" s="19" t="s">
        <v>17</v>
      </c>
      <c r="D7" s="10"/>
      <c r="E7" s="11"/>
      <c r="F7" s="20"/>
      <c r="G7" s="37"/>
    </row>
    <row r="8" spans="2:7" ht="13.5" thickBot="1" x14ac:dyDescent="0.25">
      <c r="B8" s="17"/>
      <c r="C8" s="19"/>
      <c r="D8" s="19"/>
      <c r="E8" s="19"/>
      <c r="F8" s="20"/>
    </row>
    <row r="9" spans="2:7" ht="13.5" thickBot="1" x14ac:dyDescent="0.25">
      <c r="B9" s="17"/>
      <c r="C9" s="19" t="s">
        <v>19</v>
      </c>
      <c r="D9" s="19"/>
      <c r="E9" s="9"/>
      <c r="F9" s="20"/>
      <c r="G9" s="37"/>
    </row>
    <row r="10" spans="2:7" ht="13.5" thickBot="1" x14ac:dyDescent="0.25">
      <c r="B10" s="17"/>
      <c r="C10" s="19"/>
      <c r="D10" s="19"/>
      <c r="E10" s="22"/>
      <c r="F10" s="20"/>
      <c r="G10" s="37"/>
    </row>
    <row r="11" spans="2:7" x14ac:dyDescent="0.2">
      <c r="B11" s="17"/>
      <c r="C11" s="19" t="s">
        <v>20</v>
      </c>
      <c r="D11" s="35">
        <f>SUMIF(Codigo,Cod,HorasTrab)</f>
        <v>0</v>
      </c>
      <c r="E11" s="7"/>
      <c r="F11" s="20"/>
      <c r="G11" s="37"/>
    </row>
    <row r="12" spans="2:7" x14ac:dyDescent="0.2">
      <c r="B12" s="17"/>
      <c r="C12" s="19" t="s">
        <v>21</v>
      </c>
      <c r="D12" s="35">
        <f>SUMIF(Codigo,Cod,HorasExtras)</f>
        <v>0</v>
      </c>
      <c r="E12" s="8"/>
      <c r="F12" s="20"/>
      <c r="G12" s="37"/>
    </row>
    <row r="13" spans="2:7" x14ac:dyDescent="0.2">
      <c r="B13" s="17"/>
      <c r="C13" s="19" t="s">
        <v>22</v>
      </c>
      <c r="D13" s="19"/>
      <c r="E13" s="8"/>
      <c r="F13" s="20"/>
      <c r="G13" s="37"/>
    </row>
    <row r="14" spans="2:7" ht="13.5" thickBot="1" x14ac:dyDescent="0.25">
      <c r="B14" s="17"/>
      <c r="C14" s="19" t="s">
        <v>23</v>
      </c>
      <c r="D14" s="35">
        <f>SUMIF(Codigo,Cod,HorasTarde)</f>
        <v>0</v>
      </c>
      <c r="E14" s="13"/>
      <c r="F14" s="20"/>
      <c r="G14" s="37"/>
    </row>
    <row r="15" spans="2:7" ht="13.5" thickBot="1" x14ac:dyDescent="0.25">
      <c r="B15" s="17"/>
      <c r="C15" s="19"/>
      <c r="D15" s="19"/>
      <c r="E15" s="19"/>
      <c r="F15" s="20"/>
      <c r="G15" s="36"/>
    </row>
    <row r="16" spans="2:7" ht="13.5" thickBot="1" x14ac:dyDescent="0.25">
      <c r="B16" s="17"/>
      <c r="C16" s="19" t="s">
        <v>24</v>
      </c>
      <c r="D16" s="19"/>
      <c r="E16" s="26">
        <f>SUM(E11:E13)-E14</f>
        <v>0</v>
      </c>
      <c r="F16" s="20"/>
      <c r="G16" s="36"/>
    </row>
    <row r="17" spans="2:6" ht="13.5" thickBot="1" x14ac:dyDescent="0.25">
      <c r="B17" s="23"/>
      <c r="C17" s="24"/>
      <c r="D17" s="24"/>
      <c r="E17" s="24"/>
      <c r="F17" s="25"/>
    </row>
  </sheetData>
  <phoneticPr fontId="0" type="noConversion"/>
  <printOptions horizontalCentered="1"/>
  <pageMargins left="0.78740157480314965" right="0.78740157480314965" top="0.98425196850393704" bottom="0.98425196850393704" header="0" footer="0"/>
  <pageSetup paperSize="9" scale="125"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print="0" autoPict="0" macro="[0]!VerFoto2">
                <anchor moveWithCells="1" sizeWithCells="1">
                  <from>
                    <xdr:col>4</xdr:col>
                    <xdr:colOff>0</xdr:colOff>
                    <xdr:row>3</xdr:row>
                    <xdr:rowOff>152400</xdr:rowOff>
                  </from>
                  <to>
                    <xdr:col>4</xdr:col>
                    <xdr:colOff>171450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11</vt:i4>
      </vt:variant>
    </vt:vector>
  </HeadingPairs>
  <TitlesOfParts>
    <vt:vector size="13" baseType="lpstr">
      <vt:lpstr>Planilla</vt:lpstr>
      <vt:lpstr>Boleta</vt:lpstr>
      <vt:lpstr>Cod</vt:lpstr>
      <vt:lpstr>Codigo</vt:lpstr>
      <vt:lpstr>Extra</vt:lpstr>
      <vt:lpstr>HorasExtras</vt:lpstr>
      <vt:lpstr>HorasTarde</vt:lpstr>
      <vt:lpstr>HorasTrab</vt:lpstr>
      <vt:lpstr>Ingreso</vt:lpstr>
      <vt:lpstr>Normal</vt:lpstr>
      <vt:lpstr>Obreros</vt:lpstr>
      <vt:lpstr>Planilla</vt:lpstr>
      <vt:lpstr>Tardanza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user</cp:lastModifiedBy>
  <cp:lastPrinted>2005-02-20T09:53:46Z</cp:lastPrinted>
  <dcterms:created xsi:type="dcterms:W3CDTF">2005-02-19T15:58:17Z</dcterms:created>
  <dcterms:modified xsi:type="dcterms:W3CDTF">2015-05-01T20:11:14Z</dcterms:modified>
</cp:coreProperties>
</file>