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Archivos Excel\Excel PAD\"/>
    </mc:Choice>
  </mc:AlternateContent>
  <bookViews>
    <workbookView xWindow="0" yWindow="120" windowWidth="15315" windowHeight="7995"/>
  </bookViews>
  <sheets>
    <sheet name="Simulacion" sheetId="2" r:id="rId1"/>
  </sheets>
  <definedNames>
    <definedName name="Barra">Simulacion!$C$21</definedName>
    <definedName name="Max">Simulacion!$C$19</definedName>
    <definedName name="Min">Simulacion!$C$18</definedName>
    <definedName name="Total">Simulacion!$C$16</definedName>
    <definedName name="VerBarra">Simulacion!$A$21</definedName>
  </definedNames>
  <calcPr calcId="152511"/>
</workbook>
</file>

<file path=xl/calcChain.xml><?xml version="1.0" encoding="utf-8"?>
<calcChain xmlns="http://schemas.openxmlformats.org/spreadsheetml/2006/main">
  <c r="C3" i="2" l="1"/>
  <c r="D19" i="2"/>
  <c r="D18" i="2"/>
  <c r="C6" i="2"/>
  <c r="C5" i="2"/>
  <c r="C4" i="2"/>
  <c r="C15" i="2"/>
  <c r="C16" i="2" s="1"/>
  <c r="C7" i="2" l="1"/>
</calcChain>
</file>

<file path=xl/sharedStrings.xml><?xml version="1.0" encoding="utf-8"?>
<sst xmlns="http://schemas.openxmlformats.org/spreadsheetml/2006/main" count="24" uniqueCount="24">
  <si>
    <t>Vueltas al dia (de 3 a 7)</t>
  </si>
  <si>
    <t>Pasajeros por vuelta (de 15 a 40)</t>
  </si>
  <si>
    <t>Pasajeros por vuelta (de 5 a 10)</t>
  </si>
  <si>
    <t>Pasajeros por vuelta (de 10 a 30)</t>
  </si>
  <si>
    <t>Lun</t>
  </si>
  <si>
    <t>Mar</t>
  </si>
  <si>
    <t>Mié</t>
  </si>
  <si>
    <t>Jue</t>
  </si>
  <si>
    <t>Vie</t>
  </si>
  <si>
    <t>Sáb</t>
  </si>
  <si>
    <t>Dom</t>
  </si>
  <si>
    <t xml:space="preserve"> =SUMA(C4:C6)*C3</t>
  </si>
  <si>
    <t>Minimo</t>
  </si>
  <si>
    <t>Maximo</t>
  </si>
  <si>
    <t xml:space="preserve"> =SUMA(C8:C14)</t>
  </si>
  <si>
    <t>Simulacion de Ingresos de un Microbus</t>
  </si>
  <si>
    <t>Total de Ingresos por dia</t>
  </si>
  <si>
    <t>Total de Ingresos por semana</t>
  </si>
  <si>
    <t xml:space="preserve"> =C15*4*35%</t>
  </si>
  <si>
    <t xml:space="preserve"> =B4*(ENTERO(ALEATORIO()*5)+5)</t>
  </si>
  <si>
    <t xml:space="preserve"> =B5*(ENTERO(ALEATORIO()*25)+15)</t>
  </si>
  <si>
    <t xml:space="preserve"> =B6*(ENTERO(ALEATORIO()*20)+10)</t>
  </si>
  <si>
    <t>Total de Ganancia al mes</t>
  </si>
  <si>
    <t xml:space="preserve"> =ENTERO(ALEATORIO()*5)+3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</si>
</sst>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_ * #,##0_ ;_ * \-#,##0_ ;_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4" fillId="0" borderId="0" xfId="0" applyFont="1"/>
    <xf numFmtId="43" fontId="0" fillId="0" borderId="1" xfId="1" applyFont="1" applyBorder="1"/>
    <xf numFmtId="0" fontId="0" fillId="0" borderId="2" xfId="0" applyBorder="1"/>
    <xf numFmtId="43" fontId="0" fillId="0" borderId="3" xfId="0" applyNumberFormat="1" applyBorder="1"/>
    <xf numFmtId="0" fontId="5" fillId="0" borderId="0" xfId="0" applyFont="1"/>
    <xf numFmtId="0" fontId="2" fillId="0" borderId="0" xfId="0" applyFont="1"/>
    <xf numFmtId="43" fontId="3" fillId="0" borderId="1" xfId="0" applyNumberFormat="1" applyFont="1" applyBorder="1"/>
    <xf numFmtId="43" fontId="3" fillId="0" borderId="3" xfId="0" applyNumberFormat="1" applyFont="1" applyBorder="1"/>
    <xf numFmtId="164" fontId="0" fillId="0" borderId="1" xfId="1" applyNumberFormat="1" applyFont="1" applyBorder="1" applyAlignment="1"/>
    <xf numFmtId="0" fontId="6" fillId="0" borderId="0" xfId="0" applyFont="1"/>
    <xf numFmtId="9" fontId="0" fillId="0" borderId="1" xfId="2" applyFont="1" applyBorder="1" applyAlignment="1">
      <alignment horizontal="center"/>
    </xf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132"/>
  <ax:ocxPr ax:name="_ExtentY" ax:value="132"/>
  <ax:ocxPr ax:name="_Version" ax:value="393216"/>
  <ax:ocxPr ax:name="Appearance" ax:value="0"/>
  <ax:ocxPr ax:name="Max" ax:value="500"/>
  <ax:ocxPr ax:name="Scrolling" ax:value="1"/>
</ax:ocx>
</file>

<file path=xl/ctrlProps/ctrlProp1.xml><?xml version="1.0" encoding="utf-8"?>
<formControlPr xmlns="http://schemas.microsoft.com/office/spreadsheetml/2009/9/main" objectType="CheckBox" fmlaLink="$A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17</xdr:row>
      <xdr:rowOff>0</xdr:rowOff>
    </xdr:from>
    <xdr:to>
      <xdr:col>0</xdr:col>
      <xdr:colOff>2028825</xdr:colOff>
      <xdr:row>19</xdr:row>
      <xdr:rowOff>9525</xdr:rowOff>
    </xdr:to>
    <xdr:sp macro="[0]!Calcular" textlink="">
      <xdr:nvSpPr>
        <xdr:cNvPr id="3" name="2 Rectángulo"/>
        <xdr:cNvSpPr/>
      </xdr:nvSpPr>
      <xdr:spPr>
        <a:xfrm>
          <a:off x="114300" y="3343275"/>
          <a:ext cx="1914525" cy="3905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s-PE" sz="1100"/>
            <a:t>Calcula Ingreso Max y Min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18</xdr:row>
          <xdr:rowOff>38100</xdr:rowOff>
        </xdr:from>
        <xdr:to>
          <xdr:col>0</xdr:col>
          <xdr:colOff>1809750</xdr:colOff>
          <xdr:row>18</xdr:row>
          <xdr:rowOff>142875</xdr:rowOff>
        </xdr:to>
        <xdr:sp macro="" textlink="">
          <xdr:nvSpPr>
            <xdr:cNvPr id="2049" name="Barra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19</xdr:row>
          <xdr:rowOff>171450</xdr:rowOff>
        </xdr:from>
        <xdr:to>
          <xdr:col>0</xdr:col>
          <xdr:colOff>1809750</xdr:colOff>
          <xdr:row>21</xdr:row>
          <xdr:rowOff>9525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FFFFFF">
                    <a:gamma/>
                    <a:shade val="46275"/>
                    <a:invGamma/>
                  </a:srgbClr>
                </a:gs>
                <a:gs pos="50000">
                  <a:srgbClr val="FFFFFF"/>
                </a:gs>
                <a:gs pos="100000">
                  <a:srgbClr val="FFFFFF">
                    <a:gamma/>
                    <a:shade val="46275"/>
                    <a:invGamma/>
                  </a:srgbClr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Mostrar barra de progreso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D21"/>
  <sheetViews>
    <sheetView tabSelected="1" workbookViewId="0"/>
  </sheetViews>
  <sheetFormatPr baseColWidth="10" defaultRowHeight="15" x14ac:dyDescent="0.25"/>
  <cols>
    <col min="1" max="1" width="31.7109375" customWidth="1"/>
    <col min="2" max="2" width="10.140625" customWidth="1"/>
    <col min="4" max="4" width="33.5703125" customWidth="1"/>
  </cols>
  <sheetData>
    <row r="1" spans="1:4" ht="23.25" x14ac:dyDescent="0.35">
      <c r="A1" s="2" t="s">
        <v>15</v>
      </c>
      <c r="B1" s="2"/>
    </row>
    <row r="3" spans="1:4" x14ac:dyDescent="0.25">
      <c r="A3" s="1" t="s">
        <v>0</v>
      </c>
      <c r="B3" s="1"/>
      <c r="C3" s="10">
        <f ca="1">INT(RAND()*5)+3</f>
        <v>4</v>
      </c>
      <c r="D3" s="1" t="s">
        <v>23</v>
      </c>
    </row>
    <row r="4" spans="1:4" x14ac:dyDescent="0.25">
      <c r="A4" s="1" t="s">
        <v>2</v>
      </c>
      <c r="B4" s="3">
        <v>0.5</v>
      </c>
      <c r="C4" s="3">
        <f ca="1">B4*(INT(RAND()*5)+5)</f>
        <v>4.5</v>
      </c>
      <c r="D4" s="1" t="s">
        <v>19</v>
      </c>
    </row>
    <row r="5" spans="1:4" x14ac:dyDescent="0.25">
      <c r="A5" s="1" t="s">
        <v>1</v>
      </c>
      <c r="B5" s="3">
        <v>1</v>
      </c>
      <c r="C5" s="3">
        <f ca="1">B5*(INT(RAND()*25)+15)</f>
        <v>28</v>
      </c>
      <c r="D5" s="1" t="s">
        <v>20</v>
      </c>
    </row>
    <row r="6" spans="1:4" x14ac:dyDescent="0.25">
      <c r="A6" s="1" t="s">
        <v>3</v>
      </c>
      <c r="B6" s="3">
        <v>1.5</v>
      </c>
      <c r="C6" s="3">
        <f ca="1">B6*(INT(RAND()*20)+10)</f>
        <v>39</v>
      </c>
      <c r="D6" s="1" t="s">
        <v>21</v>
      </c>
    </row>
    <row r="7" spans="1:4" x14ac:dyDescent="0.25">
      <c r="A7" s="1" t="s">
        <v>16</v>
      </c>
      <c r="B7" s="1"/>
      <c r="C7" s="8">
        <f ca="1">SUM(C4:C6)*C3</f>
        <v>286</v>
      </c>
      <c r="D7" s="1" t="s">
        <v>11</v>
      </c>
    </row>
    <row r="8" spans="1:4" x14ac:dyDescent="0.25">
      <c r="B8" s="1" t="s">
        <v>4</v>
      </c>
      <c r="C8" s="3">
        <f t="dataTable" ref="C8:C14" dt2D="0" dtr="0" r1="E9" ca="1"/>
        <v>178.5</v>
      </c>
    </row>
    <row r="9" spans="1:4" x14ac:dyDescent="0.25">
      <c r="B9" s="1" t="s">
        <v>5</v>
      </c>
      <c r="C9" s="3">
        <v>237</v>
      </c>
    </row>
    <row r="10" spans="1:4" x14ac:dyDescent="0.25">
      <c r="B10" s="1" t="s">
        <v>6</v>
      </c>
      <c r="C10" s="3">
        <v>300</v>
      </c>
    </row>
    <row r="11" spans="1:4" x14ac:dyDescent="0.25">
      <c r="B11" s="1" t="s">
        <v>7</v>
      </c>
      <c r="C11" s="3">
        <v>216</v>
      </c>
    </row>
    <row r="12" spans="1:4" x14ac:dyDescent="0.25">
      <c r="B12" s="1" t="s">
        <v>8</v>
      </c>
      <c r="C12" s="3">
        <v>252</v>
      </c>
    </row>
    <row r="13" spans="1:4" x14ac:dyDescent="0.25">
      <c r="B13" s="1" t="s">
        <v>9</v>
      </c>
      <c r="C13" s="3">
        <v>332.5</v>
      </c>
    </row>
    <row r="14" spans="1:4" x14ac:dyDescent="0.25">
      <c r="B14" s="1" t="s">
        <v>10</v>
      </c>
      <c r="C14" s="3">
        <v>406</v>
      </c>
    </row>
    <row r="15" spans="1:4" x14ac:dyDescent="0.25">
      <c r="A15" s="1" t="s">
        <v>17</v>
      </c>
      <c r="B15" s="4"/>
      <c r="C15" s="5">
        <f>SUM(C8:C14)</f>
        <v>1922</v>
      </c>
      <c r="D15" t="s">
        <v>14</v>
      </c>
    </row>
    <row r="16" spans="1:4" x14ac:dyDescent="0.25">
      <c r="A16" s="1" t="s">
        <v>22</v>
      </c>
      <c r="B16" s="4"/>
      <c r="C16" s="9">
        <f>C15*4*35%</f>
        <v>2690.7999999999997</v>
      </c>
      <c r="D16" t="s">
        <v>18</v>
      </c>
    </row>
    <row r="18" spans="1:4" x14ac:dyDescent="0.25">
      <c r="B18" t="s">
        <v>12</v>
      </c>
      <c r="C18" s="3">
        <v>1854.3</v>
      </c>
      <c r="D18" s="6" t="str">
        <f>REPT("█",Min/1000)&amp;" "&amp;ROUNDUP(Min,-2)</f>
        <v>█ 1900</v>
      </c>
    </row>
    <row r="19" spans="1:4" x14ac:dyDescent="0.25">
      <c r="B19" t="s">
        <v>13</v>
      </c>
      <c r="C19" s="3">
        <v>4114.5999999999995</v>
      </c>
      <c r="D19" s="7" t="str">
        <f>REPT("█",Max/1000)&amp;" "&amp;ROUNDDOWN(Max,-2)</f>
        <v>████ 4100</v>
      </c>
    </row>
    <row r="21" spans="1:4" x14ac:dyDescent="0.25">
      <c r="A21" s="11" t="b">
        <v>0</v>
      </c>
      <c r="C21" s="12"/>
    </row>
  </sheetData>
  <conditionalFormatting sqref="C21">
    <cfRule type="dataBar" priority="1">
      <dataBar>
        <cfvo type="num" val="0"/>
        <cfvo type="num" val="1"/>
        <color rgb="FF00B0F0"/>
      </dataBar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49" r:id="rId4" name="Barra1">
          <controlPr defaultSize="0" autoLine="0" autoPict="0" r:id="rId5">
            <anchor moveWithCells="1">
              <from>
                <xdr:col>0</xdr:col>
                <xdr:colOff>323850</xdr:colOff>
                <xdr:row>18</xdr:row>
                <xdr:rowOff>38100</xdr:rowOff>
              </from>
              <to>
                <xdr:col>0</xdr:col>
                <xdr:colOff>1809750</xdr:colOff>
                <xdr:row>18</xdr:row>
                <xdr:rowOff>142875</xdr:rowOff>
              </to>
            </anchor>
          </controlPr>
        </control>
      </mc:Choice>
      <mc:Fallback>
        <control shapeId="2049" r:id="rId4" name="Barra1"/>
      </mc:Fallback>
    </mc:AlternateContent>
    <mc:AlternateContent xmlns:mc="http://schemas.openxmlformats.org/markup-compatibility/2006">
      <mc:Choice Requires="x14">
        <control shapeId="2051" r:id="rId6" name="Check Box 3">
          <controlPr defaultSize="0" autoFill="0" autoLine="0" autoPict="0">
            <anchor moveWithCells="1">
              <from>
                <xdr:col>0</xdr:col>
                <xdr:colOff>342900</xdr:colOff>
                <xdr:row>19</xdr:row>
                <xdr:rowOff>171450</xdr:rowOff>
              </from>
              <to>
                <xdr:col>0</xdr:col>
                <xdr:colOff>1809750</xdr:colOff>
                <xdr:row>21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Simulacion</vt:lpstr>
      <vt:lpstr>Barra</vt:lpstr>
      <vt:lpstr>Max</vt:lpstr>
      <vt:lpstr>Min</vt:lpstr>
      <vt:lpstr>Total</vt:lpstr>
      <vt:lpstr>VerBarra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CEPS</cp:lastModifiedBy>
  <dcterms:created xsi:type="dcterms:W3CDTF">2011-03-09T05:35:05Z</dcterms:created>
  <dcterms:modified xsi:type="dcterms:W3CDTF">2014-03-25T21:40:57Z</dcterms:modified>
</cp:coreProperties>
</file>